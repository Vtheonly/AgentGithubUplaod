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AT 20262027" sheetId="1" r:id="rId5"/>
    <sheet state="visible" name="BON " sheetId="2" r:id="rId6"/>
    <sheet state="visible" name="Devis" sheetId="3" r:id="rId7"/>
    <sheet state="visible" name="REF" sheetId="4" r:id="rId8"/>
  </sheets>
  <definedNames>
    <definedName name="CLIENT">REF!$A:$A</definedName>
    <definedName name="NIVEAU">REF!$B:$B</definedName>
    <definedName name="parent">#REF!</definedName>
    <definedName name="TUTEUR">#REF!</definedName>
    <definedName hidden="1" localSheetId="0" name="_xlnm._FilterDatabase">'ETAT 20262027'!$A$1:$AN$404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M231">
      <text>
        <t xml:space="preserve">55000/25/05B12</t>
      </text>
    </comment>
    <comment authorId="0" ref="AM198">
      <text>
        <t xml:space="preserve">532500/25/05B12</t>
      </text>
    </comment>
    <comment authorId="0" ref="AM165">
      <text>
        <t xml:space="preserve">96000/24/05B12</t>
      </text>
    </comment>
    <comment authorId="0" ref="AM33">
      <text>
        <t xml:space="preserve">113000/12/05B11</t>
      </text>
    </comment>
    <comment authorId="0" ref="AM380">
      <text>
        <t xml:space="preserve">194000/11/06B01</t>
      </text>
    </comment>
    <comment authorId="0" ref="AM347">
      <text>
        <t xml:space="preserve">600000/70/06B01</t>
      </text>
    </comment>
    <comment authorId="0" ref="AM281">
      <text>
        <t xml:space="preserve">920000/02/06/01</t>
      </text>
    </comment>
    <comment authorId="0" ref="AM248">
      <text>
        <t xml:space="preserve">400000/31/05B01
794000/14/07</t>
      </text>
    </comment>
    <comment authorId="0" ref="AM149">
      <text>
        <t xml:space="preserve">23000/21/05B12</t>
      </text>
    </comment>
    <comment authorId="0" ref="AM116">
      <text>
        <t xml:space="preserve">128000/20/05B12</t>
      </text>
    </comment>
    <comment authorId="0" ref="AM17">
      <text>
        <t xml:space="preserve">250000/07/05B11</t>
      </text>
    </comment>
    <comment authorId="0" ref="AM331">
      <text>
        <t xml:space="preserve">233500/04/06B01</t>
      </text>
    </comment>
    <comment authorId="0" ref="AM166">
      <text>
        <t xml:space="preserve">260000/24/05B12</t>
      </text>
    </comment>
    <comment authorId="0" ref="AM133">
      <text>
        <t xml:space="preserve">635000/20/05B12</t>
      </text>
    </comment>
    <comment authorId="0" ref="AM100">
      <text>
        <t xml:space="preserve">149000/19/05B12
6000/20/05B12</t>
      </text>
    </comment>
    <comment authorId="0" ref="AM34">
      <text>
        <t xml:space="preserve">18000/12/05B11</t>
      </text>
    </comment>
    <comment authorId="0" ref="AM315">
      <text>
        <t xml:space="preserve">101000/04/06B01</t>
      </text>
    </comment>
    <comment authorId="0" ref="AM216">
      <text>
        <t xml:space="preserve">90000/25/05B12</t>
      </text>
    </comment>
    <comment authorId="0" ref="AM183">
      <text>
        <t xml:space="preserve">54000/25/05B12</t>
      </text>
    </comment>
    <comment authorId="0" ref="AM150">
      <text>
        <t xml:space="preserve">260000/21/05B12</t>
      </text>
    </comment>
    <comment authorId="0" ref="AM84">
      <text>
        <t xml:space="preserve">25000/17/05B12</t>
      </text>
    </comment>
    <comment authorId="0" ref="AM51">
      <text>
        <t xml:space="preserve">96000/13/05</t>
      </text>
    </comment>
    <comment authorId="0" ref="AM365">
      <text>
        <t xml:space="preserve">118000/08/06</t>
      </text>
    </comment>
    <comment authorId="0" ref="AM266">
      <text>
        <t xml:space="preserve">20000/31/05B01</t>
      </text>
    </comment>
    <comment authorId="0" ref="AM233">
      <text>
        <t xml:space="preserve">66000/25/05B12</t>
      </text>
    </comment>
    <comment authorId="0" ref="AM200">
      <text>
        <t xml:space="preserve">14300025/05B12</t>
      </text>
    </comment>
    <comment authorId="0" ref="AM167">
      <text>
        <t xml:space="preserve">117000/24/05B12</t>
      </text>
    </comment>
    <comment authorId="0" ref="AM101">
      <text>
        <t xml:space="preserve">50000/18/5B12</t>
      </text>
    </comment>
    <comment authorId="0" ref="AM68">
      <text>
        <t xml:space="preserve">125000/11/05B11</t>
      </text>
    </comment>
    <comment authorId="0" ref="AM35">
      <text>
        <t xml:space="preserve">242000/13/05B11</t>
      </text>
    </comment>
    <comment authorId="0" ref="AM2">
      <text>
        <t xml:space="preserve">239500/05/05</t>
      </text>
    </comment>
    <comment authorId="0" ref="AM382">
      <text>
        <t xml:space="preserve">270000/14/06B01</t>
      </text>
    </comment>
    <comment authorId="0" ref="AM316">
      <text>
        <t xml:space="preserve">157000/04/06B01</t>
      </text>
    </comment>
    <comment authorId="0" ref="AM283">
      <text>
        <t xml:space="preserve">598500/02/06B01
250000/02/0601</t>
      </text>
    </comment>
    <comment authorId="0" ref="AM184">
      <text>
        <t xml:space="preserve">126000/25/05B12</t>
      </text>
    </comment>
    <comment authorId="0" ref="AM151">
      <text>
        <t xml:space="preserve">200000/21/05
162500/25/05</t>
      </text>
    </comment>
    <comment authorId="0" ref="AM85">
      <text>
        <t xml:space="preserve">245000/17/05B12</t>
      </text>
    </comment>
    <comment authorId="0" ref="AM52">
      <text>
        <t xml:space="preserve">220000/14/05/B11</t>
      </text>
    </comment>
    <comment authorId="0" ref="AL531">
      <text>
        <t xml:space="preserve">50000/19/09
======</t>
      </text>
    </comment>
    <comment authorId="0" ref="AM19">
      <text>
        <t xml:space="preserve">261000/10/05</t>
      </text>
    </comment>
    <comment authorId="0" ref="AM366">
      <text>
        <t xml:space="preserve">25000/09/06B01</t>
      </text>
    </comment>
    <comment authorId="0" ref="AM267">
      <text>
        <t xml:space="preserve">25000/31/05B01</t>
      </text>
    </comment>
    <comment authorId="0" ref="AM234">
      <text>
        <t xml:space="preserve">304000/26/05B01</t>
      </text>
    </comment>
    <comment authorId="0" ref="AM201">
      <text>
        <t xml:space="preserve">25000/25/05B12</t>
      </text>
    </comment>
    <comment authorId="0" ref="AM168">
      <text>
        <t xml:space="preserve">110000/24/05B12</t>
      </text>
    </comment>
    <comment authorId="0" ref="AM135">
      <text>
        <t xml:space="preserve">25000/20/05B12</t>
      </text>
    </comment>
    <comment authorId="0" ref="AM69">
      <text>
        <t xml:space="preserve">309000/14/05B11</t>
      </text>
    </comment>
    <comment authorId="0" ref="AM3">
      <text>
        <t xml:space="preserve">294500/05/05</t>
      </text>
    </comment>
    <comment authorId="0" ref="AM383">
      <text>
        <t xml:space="preserve">733500/14/06B01</t>
      </text>
    </comment>
    <comment authorId="0" ref="AM350">
      <text>
        <t xml:space="preserve">24000/07/06</t>
      </text>
    </comment>
    <comment authorId="0" ref="AM86">
      <text>
        <t xml:space="preserve">199000/17/05B12</t>
      </text>
    </comment>
    <comment authorId="0" ref="AM367">
      <text>
        <t xml:space="preserve">30000/09/06B01</t>
      </text>
    </comment>
    <comment authorId="0" ref="AM334">
      <text>
        <t xml:space="preserve">25000/07/06</t>
      </text>
    </comment>
    <comment authorId="0" ref="AM301">
      <text>
        <t xml:space="preserve">514000/03/06B01</t>
      </text>
    </comment>
    <comment authorId="0" ref="AM268">
      <text>
        <t xml:space="preserve">71000/31/05B01</t>
      </text>
    </comment>
    <comment authorId="0" ref="AM202">
      <text>
        <t xml:space="preserve">25000/25/05B12</t>
      </text>
    </comment>
    <comment authorId="0" ref="AM169">
      <text>
        <t xml:space="preserve">25000/24/05B12</t>
      </text>
    </comment>
    <comment authorId="0" ref="AM136">
      <text>
        <t xml:space="preserve">854000/21/05B12</t>
      </text>
    </comment>
    <comment authorId="0" ref="AM103">
      <text>
        <t xml:space="preserve">477000/19/05B12</t>
      </text>
    </comment>
    <comment authorId="0" ref="AM70">
      <text>
        <t xml:space="preserve">96000/14/05B11</t>
      </text>
    </comment>
    <comment authorId="0" ref="AM37">
      <text>
        <t xml:space="preserve">10043500/13/05B11</t>
      </text>
    </comment>
    <comment authorId="0" ref="AM4">
      <text>
        <t xml:space="preserve">117000/05/05</t>
      </text>
    </comment>
    <comment authorId="0" ref="AM351">
      <text>
        <t xml:space="preserve">251000/07/06B01</t>
      </text>
    </comment>
    <comment authorId="0" ref="AM252">
      <text>
        <t xml:space="preserve">18000/31/05B01</t>
      </text>
    </comment>
    <comment authorId="0" ref="AM219">
      <text>
        <t xml:space="preserve">25000/25/05B12</t>
      </text>
    </comment>
    <comment authorId="0" ref="AM186">
      <text>
        <t xml:space="preserve">96000/25/05B12</t>
      </text>
    </comment>
    <comment authorId="0" ref="AM87">
      <text>
        <t xml:space="preserve">309000/17/05B12</t>
      </text>
    </comment>
    <comment authorId="0" ref="AM54">
      <text>
        <t xml:space="preserve">115000/14/05</t>
      </text>
    </comment>
    <comment authorId="0" ref="AM21">
      <text>
        <t xml:space="preserve">114000/05/10B11</t>
      </text>
    </comment>
    <comment authorId="0" ref="AM368">
      <text>
        <t xml:space="preserve">737000/09/06B01</t>
      </text>
    </comment>
    <comment authorId="0" ref="AM335">
      <text>
        <t xml:space="preserve">105000/07/06</t>
      </text>
    </comment>
    <comment authorId="0" ref="AM269">
      <text>
        <t xml:space="preserve">354000/01/06B01</t>
      </text>
    </comment>
    <comment authorId="0" ref="AM203">
      <text>
        <t xml:space="preserve">126000/25/05B12</t>
      </text>
    </comment>
    <comment authorId="0" ref="AM170">
      <text>
        <t xml:space="preserve">548000/24/05/B12</t>
      </text>
    </comment>
    <comment authorId="0" ref="AM71">
      <text>
        <t xml:space="preserve">299000/05/11B11</t>
      </text>
    </comment>
    <comment authorId="0" ref="AM5">
      <text>
        <t xml:space="preserve">152000/05/05</t>
      </text>
    </comment>
    <comment authorId="0" ref="AM319">
      <text>
        <t xml:space="preserve">227000/04/06B01</t>
      </text>
    </comment>
    <comment authorId="0" ref="AL253">
      <text>
        <t xml:space="preserve">112000/31/05B01</t>
      </text>
    </comment>
    <comment authorId="0" ref="AM253">
      <text>
        <t xml:space="preserve">112000/31/05B01</t>
      </text>
    </comment>
    <comment authorId="0" ref="AM220">
      <text>
        <t xml:space="preserve">30000/25/05B12</t>
      </text>
    </comment>
    <comment authorId="0" ref="AM187">
      <text>
        <t xml:space="preserve">176000/25/05B12</t>
      </text>
    </comment>
    <comment authorId="0" ref="AM154">
      <text>
        <t xml:space="preserve">25000/21/05B12</t>
      </text>
    </comment>
    <comment authorId="0" ref="AM121">
      <text>
        <t xml:space="preserve">100000/20/05B12</t>
      </text>
    </comment>
    <comment authorId="0" ref="AM88">
      <text>
        <t xml:space="preserve">100000/18/05B12</t>
      </text>
    </comment>
    <comment authorId="0" ref="AM55">
      <text>
        <t xml:space="preserve">125000/14/05B11</t>
      </text>
    </comment>
    <comment authorId="0" ref="AM22">
      <text>
        <t xml:space="preserve">265000/10/05/B11</t>
      </text>
    </comment>
    <comment authorId="0" ref="AM336">
      <text>
        <t xml:space="preserve">25000/07/06B01</t>
      </text>
    </comment>
    <comment authorId="0" ref="AM303">
      <text>
        <t xml:space="preserve">73000/03/06B01</t>
      </text>
    </comment>
    <comment authorId="0" ref="AM237">
      <text>
        <t xml:space="preserve">106000/26/05B01</t>
      </text>
    </comment>
    <comment authorId="0" ref="AM204">
      <text>
        <t xml:space="preserve">25000/25/05B12</t>
      </text>
    </comment>
    <comment authorId="0" ref="AM105">
      <text>
        <t xml:space="preserve">160000/19/05B12</t>
      </text>
    </comment>
    <comment authorId="0" ref="AL1030">
      <text>
        <t xml:space="preserve">300000/12/9B2
======</t>
      </text>
    </comment>
    <comment authorId="0" ref="AM6">
      <text>
        <t xml:space="preserve">142000/10/5B11</t>
      </text>
    </comment>
    <comment authorId="0" ref="AM386">
      <text>
        <t xml:space="preserve">100000/14/06B01</t>
      </text>
    </comment>
    <comment authorId="0" ref="AM353">
      <text>
        <t xml:space="preserve">25000/07/06B01
213500/1/06B01</t>
      </text>
    </comment>
    <comment authorId="0" ref="AM287">
      <text>
        <t xml:space="preserve">144000/02/06B01</t>
      </text>
    </comment>
    <comment authorId="0" ref="AM254">
      <text>
        <t xml:space="preserve">50000/31/05B01</t>
      </text>
    </comment>
    <comment authorId="0" ref="AM221">
      <text>
        <t xml:space="preserve">115000/25/05B12</t>
      </text>
    </comment>
    <comment authorId="0" ref="AM188">
      <text>
        <t xml:space="preserve">30000/25/05B12</t>
      </text>
    </comment>
    <comment authorId="0" ref="AM155">
      <text>
        <t xml:space="preserve">115000/21/05B12</t>
      </text>
    </comment>
    <comment authorId="0" ref="AM122">
      <text>
        <t xml:space="preserve">25000/20/5B12</t>
      </text>
    </comment>
    <comment authorId="0" ref="AM56">
      <text>
        <t xml:space="preserve">220000/14/05B11</t>
      </text>
    </comment>
    <comment authorId="0" ref="AM23">
      <text>
        <t xml:space="preserve">146000/05/10B11</t>
      </text>
    </comment>
    <comment authorId="0" ref="AM370">
      <text>
        <t xml:space="preserve">98000/10/06B01</t>
      </text>
    </comment>
    <comment authorId="0" ref="AM337">
      <text>
        <t xml:space="preserve">329000/07/06B01</t>
      </text>
    </comment>
    <comment authorId="0" ref="AM304">
      <text>
        <t xml:space="preserve">99000/03/06B01</t>
      </text>
    </comment>
    <comment authorId="0" ref="AM238">
      <text>
        <t xml:space="preserve">551000/26/05B1</t>
      </text>
    </comment>
    <comment authorId="0" ref="AM205">
      <text>
        <t xml:space="preserve">114000/25/05B12</t>
      </text>
    </comment>
    <comment authorId="0" ref="AM172">
      <text>
        <t xml:space="preserve">25000/24/05B12</t>
      </text>
    </comment>
    <comment authorId="0" ref="AM139">
      <text>
        <t xml:space="preserve">100000/21/05B12</t>
      </text>
    </comment>
    <comment authorId="0" ref="AM106">
      <text>
        <t xml:space="preserve">343000/19/05B12</t>
      </text>
    </comment>
    <comment authorId="0" ref="AM73">
      <text>
        <t xml:space="preserve">457000/05/11B11</t>
      </text>
    </comment>
    <comment authorId="0" ref="AM7">
      <text>
        <t xml:space="preserve">400000/5B11</t>
      </text>
    </comment>
    <comment authorId="0" ref="AM387">
      <text>
        <t xml:space="preserve">399000/15/06B01</t>
      </text>
    </comment>
    <comment authorId="0" ref="AM354">
      <text>
        <t xml:space="preserve">50000/07/06B01</t>
      </text>
    </comment>
    <comment authorId="0" ref="AM321">
      <text>
        <t xml:space="preserve">20000/04/06B01</t>
      </text>
    </comment>
    <comment authorId="0" ref="AM288">
      <text>
        <t xml:space="preserve">98000/02/06B01</t>
      </text>
    </comment>
    <comment authorId="0" ref="AM222">
      <text>
        <t xml:space="preserve">240000/25/05B12</t>
      </text>
    </comment>
    <comment authorId="0" ref="AM189">
      <text>
        <t xml:space="preserve">347000/25/05B12</t>
      </text>
    </comment>
    <comment authorId="0" ref="AM156">
      <text>
        <t xml:space="preserve">300000/24/05B12</t>
      </text>
    </comment>
    <comment authorId="0" ref="AM90">
      <text>
        <t xml:space="preserve">279500/18/05B12</t>
      </text>
    </comment>
    <comment authorId="0" ref="AM24">
      <text>
        <t xml:space="preserve">309000/10/05B11</t>
      </text>
    </comment>
    <comment authorId="0" ref="AM371">
      <text>
        <t xml:space="preserve">18000/10/06B01</t>
      </text>
    </comment>
    <comment authorId="0" ref="AM338">
      <text>
        <t xml:space="preserve">740000/07/06B01</t>
      </text>
    </comment>
    <comment authorId="0" ref="AM305">
      <text>
        <t xml:space="preserve">164000/04/06B01</t>
      </text>
    </comment>
    <comment authorId="0" ref="AM272">
      <text>
        <t xml:space="preserve">147000/01/06B01</t>
      </text>
    </comment>
    <comment authorId="0" ref="AM206">
      <text>
        <t xml:space="preserve">453000/25/5B12</t>
      </text>
    </comment>
    <comment authorId="0" ref="AM173">
      <text>
        <t xml:space="preserve">309000/24/05B12</t>
      </text>
    </comment>
    <comment authorId="0" ref="AM107">
      <text>
        <t xml:space="preserve">96000/19/05B12</t>
      </text>
    </comment>
    <comment authorId="0" ref="AM41">
      <text>
        <t xml:space="preserve">43000/13/05B11</t>
      </text>
    </comment>
    <comment authorId="0" ref="AM8">
      <text>
        <t xml:space="preserve">600000/17/06
22000/07/06b01</t>
      </text>
    </comment>
    <comment authorId="0" ref="AM355">
      <text>
        <t xml:space="preserve">50000/07/06B01</t>
      </text>
    </comment>
    <comment authorId="0" ref="AM322">
      <text>
        <t xml:space="preserve">200000/04/06B01</t>
      </text>
    </comment>
    <comment authorId="0" ref="AM289">
      <text>
        <t xml:space="preserve">25000/02/06B01</t>
      </text>
    </comment>
    <comment authorId="0" ref="AM256">
      <text>
        <t xml:space="preserve">300000/31/05B01
312800/01/06B01</t>
      </text>
    </comment>
    <comment authorId="0" ref="AM223">
      <text>
        <t xml:space="preserve">218000/25/05B12</t>
      </text>
    </comment>
    <comment authorId="0" ref="AM157">
      <text>
        <t xml:space="preserve">146000/24/05B12</t>
      </text>
    </comment>
    <comment authorId="0" ref="AM124">
      <text>
        <t xml:space="preserve">100000/20/05B12</t>
      </text>
    </comment>
    <comment authorId="0" ref="AM91">
      <text>
        <t xml:space="preserve">239500/18/05B12</t>
      </text>
    </comment>
    <comment authorId="0" ref="AM58">
      <text>
        <t xml:space="preserve">200000/14/05B11
64500/03/06B01</t>
      </text>
    </comment>
    <comment authorId="0" ref="AM25">
      <text>
        <t xml:space="preserve">30000/10/05</t>
      </text>
    </comment>
    <comment authorId="0" ref="AM306">
      <text>
        <t xml:space="preserve">144000/04/06B01</t>
      </text>
    </comment>
    <comment authorId="0" ref="AM240">
      <text>
        <t xml:space="preserve">50000/26/05B01</t>
      </text>
    </comment>
    <comment authorId="0" ref="AM141">
      <text>
        <t xml:space="preserve">18000/21/05B12</t>
      </text>
    </comment>
    <comment authorId="0" ref="AM108">
      <text>
        <t xml:space="preserve">117000/19/05B12</t>
      </text>
    </comment>
    <comment authorId="0" ref="AM290">
      <text>
        <t xml:space="preserve">45000/03/06B01</t>
      </text>
    </comment>
    <comment authorId="0" ref="AM191">
      <text>
        <t xml:space="preserve">1253500/25/05/B12</t>
      </text>
    </comment>
    <comment authorId="0" ref="AM158">
      <text>
        <t xml:space="preserve">25000/24/05B12</t>
      </text>
    </comment>
    <comment authorId="0" ref="AM92">
      <text>
        <t xml:space="preserve">25000/18/05B12</t>
      </text>
    </comment>
    <comment authorId="0" ref="AM59">
      <text>
        <t xml:space="preserve">348500/14/05B11</t>
      </text>
    </comment>
    <comment authorId="0" ref="AM26">
      <text>
        <t xml:space="preserve">154000/11/05B11</t>
      </text>
    </comment>
    <comment authorId="0" ref="AM307">
      <text>
        <t xml:space="preserve">200000/04/06B01
19000/07/06b01</t>
      </text>
    </comment>
    <comment authorId="0" ref="AM142">
      <text>
        <t xml:space="preserve">96000/21/05B12</t>
      </text>
    </comment>
    <comment authorId="0" ref="AM109">
      <text>
        <t xml:space="preserve">234500/19/05B12</t>
      </text>
    </comment>
    <comment authorId="0" ref="AM76">
      <text>
        <t xml:space="preserve">75000/17/05B12</t>
      </text>
    </comment>
    <comment authorId="0" ref="AM43">
      <text>
        <t xml:space="preserve">393000/13/05B11</t>
      </text>
    </comment>
    <comment authorId="0" ref="AM10">
      <text>
        <t xml:space="preserve">292500/06/05</t>
      </text>
    </comment>
    <comment authorId="0" ref="AM390">
      <text>
        <t xml:space="preserve">40000/15/06B01</t>
      </text>
    </comment>
    <comment authorId="0" ref="AM357">
      <text>
        <t xml:space="preserve">100000/07/06B01</t>
      </text>
    </comment>
    <comment authorId="0" ref="AM291">
      <text>
        <t xml:space="preserve">24000/03/06B01</t>
      </text>
    </comment>
    <comment authorId="0" ref="AM258">
      <text>
        <t xml:space="preserve">600000/31/05B01</t>
      </text>
    </comment>
    <comment authorId="0" ref="AM225">
      <text>
        <t xml:space="preserve">167000/25/05B12</t>
      </text>
    </comment>
    <comment authorId="0" ref="AM159">
      <text>
        <t xml:space="preserve">170000/24/0512</t>
      </text>
    </comment>
    <comment authorId="0" ref="AM93">
      <text>
        <t xml:space="preserve">300000/8/05B12</t>
      </text>
    </comment>
    <comment authorId="0" ref="AM60">
      <text>
        <t xml:space="preserve">348500/14/05B11</t>
      </text>
    </comment>
    <comment authorId="0" ref="AM27">
      <text>
        <t xml:space="preserve">371000/05/11/B11</t>
      </text>
    </comment>
    <comment authorId="0" ref="AM341">
      <text>
        <t xml:space="preserve">300008/07/06B01</t>
      </text>
    </comment>
    <comment authorId="0" ref="AM308">
      <text>
        <t xml:space="preserve">30000/04/06B01</t>
      </text>
    </comment>
    <comment authorId="0" ref="AL209">
      <text>
        <t xml:space="preserve">202500/31/05B01</t>
      </text>
    </comment>
    <comment authorId="0" ref="AM242">
      <text>
        <t xml:space="preserve">255000/26/05B01</t>
      </text>
    </comment>
    <comment authorId="0" ref="AM176">
      <text>
        <t xml:space="preserve">25000/24/05B12</t>
      </text>
    </comment>
    <comment authorId="0" ref="AM143">
      <text>
        <t xml:space="preserve">299000/12/05B12</t>
      </text>
    </comment>
    <comment authorId="0" ref="AM110">
      <text>
        <t xml:space="preserve">25000/20/05</t>
      </text>
    </comment>
    <comment authorId="0" ref="AM11">
      <text>
        <t xml:space="preserve">449000/06/05</t>
      </text>
    </comment>
    <comment authorId="0" ref="AM292">
      <text>
        <t xml:space="preserve">100000/03/06B01</t>
      </text>
    </comment>
    <comment authorId="0" ref="AM226">
      <text>
        <t xml:space="preserve">25000/25/05B12</t>
      </text>
    </comment>
    <comment authorId="0" ref="AM127">
      <text>
        <t xml:space="preserve">144000/20/05B12</t>
      </text>
    </comment>
    <comment authorId="0" ref="AM61">
      <text>
        <t xml:space="preserve">25000/14/05B11</t>
      </text>
    </comment>
    <comment authorId="0" ref="AM28">
      <text>
        <t xml:space="preserve">220000/11/05B11</t>
      </text>
    </comment>
    <comment authorId="0" ref="AM309">
      <text>
        <t xml:space="preserve">75000/04/06B01</t>
      </text>
    </comment>
    <comment authorId="0" ref="AM276">
      <text>
        <t xml:space="preserve">96000/01/06</t>
      </text>
    </comment>
    <comment authorId="0" ref="AM243">
      <text>
        <t xml:space="preserve">96000/26/05B01</t>
      </text>
    </comment>
    <comment authorId="0" ref="AM210">
      <text>
        <t xml:space="preserve">239500/</t>
      </text>
    </comment>
    <comment authorId="0" ref="AM177">
      <text>
        <t xml:space="preserve">245000/12/04B12</t>
      </text>
    </comment>
    <comment authorId="0" ref="AM144">
      <text>
        <t xml:space="preserve">50000/21/05B12</t>
      </text>
    </comment>
    <comment authorId="0" ref="AM111">
      <text>
        <t xml:space="preserve">309000/20/05</t>
      </text>
    </comment>
    <comment authorId="0" ref="AM12">
      <text>
        <t xml:space="preserve">109000/06/05</t>
      </text>
    </comment>
    <comment authorId="0" ref="AM227">
      <text>
        <t xml:space="preserve">452500/25/05B12</t>
      </text>
    </comment>
    <comment authorId="0" ref="AM161">
      <text>
        <t xml:space="preserve">303000/24/05B12</t>
      </text>
    </comment>
    <comment authorId="0" ref="AM62">
      <text>
        <t xml:space="preserve">258000/14/05B1
1</t>
      </text>
    </comment>
    <comment authorId="0" ref="AM376">
      <text>
        <t xml:space="preserve">242000/10/06B01</t>
      </text>
    </comment>
    <comment authorId="0" ref="AM343">
      <text>
        <t xml:space="preserve">136000*07/06B01</t>
      </text>
    </comment>
    <comment authorId="0" ref="AM310">
      <text>
        <t xml:space="preserve">96000/04/06B01</t>
      </text>
    </comment>
    <comment authorId="0" ref="AM277">
      <text>
        <t xml:space="preserve">67000/01/06B01</t>
      </text>
    </comment>
    <comment authorId="0" ref="AM244">
      <text>
        <t xml:space="preserve">127000/2605B01</t>
      </text>
    </comment>
    <comment authorId="0" ref="AM211">
      <text>
        <t xml:space="preserve">200000/25/05B12</t>
      </text>
    </comment>
    <comment authorId="0" ref="AM178">
      <text>
        <t xml:space="preserve">96000/12/05B12</t>
      </text>
    </comment>
    <comment authorId="0" ref="AM145">
      <text>
        <t xml:space="preserve">25000/21/05B12</t>
      </text>
    </comment>
    <comment authorId="0" ref="AM112">
      <text>
        <t xml:space="preserve">25000/20/05B12</t>
      </text>
    </comment>
    <comment authorId="0" ref="AM79">
      <text>
        <t xml:space="preserve">348000/17/05/B12</t>
      </text>
    </comment>
    <comment authorId="0" ref="AM46">
      <text>
        <t xml:space="preserve">204500/13/05/B11</t>
      </text>
    </comment>
    <comment authorId="0" ref="AM13">
      <text>
        <t xml:space="preserve">188000/06/05</t>
      </text>
    </comment>
    <comment authorId="0" ref="AM294">
      <text>
        <t xml:space="preserve">PAIE 3ANES RSST 842500 ANNEE27/28</t>
      </text>
    </comment>
    <comment authorId="0" ref="AM261">
      <text>
        <t xml:space="preserve">96000/31/05B01</t>
      </text>
    </comment>
    <comment authorId="0" ref="AL195">
      <text>
        <t xml:space="preserve">250000/25/05B12</t>
      </text>
    </comment>
    <comment authorId="0" ref="AL129">
      <text>
        <t xml:space="preserve">38500/24/05B12</t>
      </text>
    </comment>
    <comment authorId="0" ref="AM162">
      <text>
        <t xml:space="preserve">30000/24/05B12</t>
      </text>
    </comment>
    <comment authorId="0" ref="AM129">
      <text>
        <t xml:space="preserve">440000/20/05B12</t>
      </text>
    </comment>
    <comment authorId="0" ref="AM96">
      <text>
        <t xml:space="preserve">127000/18/05B12</t>
      </text>
    </comment>
    <comment authorId="0" ref="AM30">
      <text>
        <t xml:space="preserve">90000/12/05B11
40000/18/05B12</t>
      </text>
    </comment>
    <comment authorId="0" ref="AL1021">
      <text>
        <t xml:space="preserve">30000/25/12</t>
      </text>
    </comment>
    <comment authorId="0" ref="AM344">
      <text>
        <t xml:space="preserve">129000/07/06B01</t>
      </text>
    </comment>
    <comment authorId="0" ref="AM311">
      <text>
        <t xml:space="preserve">43000/04/06B01</t>
      </text>
    </comment>
    <comment authorId="0" ref="AM278">
      <text>
        <t xml:space="preserve">40000/02/06B01</t>
      </text>
    </comment>
    <comment authorId="0" ref="AM245">
      <text>
        <t xml:space="preserve">200000/25/05B12
39500/31/05B01</t>
      </text>
    </comment>
    <comment authorId="0" ref="AM146">
      <text>
        <t xml:space="preserve">25000/21/05B12</t>
      </text>
    </comment>
    <comment authorId="0" ref="AM113">
      <text>
        <t xml:space="preserve">281500/20/05B12</t>
      </text>
    </comment>
    <comment authorId="0" ref="AM361">
      <text>
        <t xml:space="preserve">255000/08/06</t>
      </text>
    </comment>
    <comment authorId="0" ref="AM262">
      <text>
        <t xml:space="preserve">309000/3/05B01</t>
      </text>
    </comment>
    <comment authorId="0" ref="AM229">
      <text>
        <t xml:space="preserve">300000/25/05B12</t>
      </text>
    </comment>
    <comment authorId="0" ref="AM163">
      <text>
        <t xml:space="preserve">249000/24/05B12</t>
      </text>
    </comment>
    <comment authorId="0" ref="AM97">
      <text>
        <t xml:space="preserve">308000/19/05B12</t>
      </text>
    </comment>
    <comment authorId="0" ref="AM64">
      <text>
        <t xml:space="preserve">126000/14/05B11</t>
      </text>
    </comment>
    <comment authorId="0" ref="AM31">
      <text>
        <t xml:space="preserve">154000/12/05</t>
      </text>
    </comment>
    <comment authorId="0" ref="AM378">
      <text>
        <t xml:space="preserve">80000/10/06B01</t>
      </text>
    </comment>
    <comment authorId="0" ref="AM345">
      <text>
        <t xml:space="preserve">100000/07/06B01</t>
      </text>
    </comment>
    <comment authorId="0" ref="AM279">
      <text>
        <t xml:space="preserve">227500/02/06B01</t>
      </text>
    </comment>
    <comment authorId="0" ref="AM246">
      <text>
        <t xml:space="preserve">96000/31/05B01</t>
      </text>
    </comment>
    <comment authorId="0" ref="AM213">
      <text>
        <t xml:space="preserve">300000/25/05B12</t>
      </text>
    </comment>
    <comment authorId="0" ref="AM180">
      <text>
        <t xml:space="preserve">400000/25/05B12</t>
      </text>
    </comment>
    <comment authorId="0" ref="AM147">
      <text>
        <t xml:space="preserve">25000/21/05B12</t>
      </text>
    </comment>
    <comment authorId="0" ref="AM114">
      <text>
        <t xml:space="preserve">234000/20/05B12</t>
      </text>
    </comment>
    <comment authorId="0" ref="AM81">
      <text>
        <t xml:space="preserve">245000/17/05B12</t>
      </text>
    </comment>
    <comment authorId="0" ref="AM48">
      <text>
        <t xml:space="preserve">212000/13/05B11</t>
      </text>
    </comment>
    <comment authorId="0" ref="AM15">
      <text>
        <t xml:space="preserve">303000/07/05B11</t>
      </text>
    </comment>
    <comment authorId="0" ref="I528">
      <text>
        <t xml:space="preserve">2 mois rsst 20000 t2
======</t>
      </text>
    </comment>
    <comment authorId="0" ref="AM362">
      <text>
        <t xml:space="preserve">25000/08/06</t>
      </text>
    </comment>
    <comment authorId="0" ref="AM263">
      <text>
        <t xml:space="preserve">25000/31/05B01</t>
      </text>
    </comment>
    <comment authorId="0" ref="AM65">
      <text>
        <t xml:space="preserve">745500/14/05B11</t>
      </text>
    </comment>
    <comment authorId="0" ref="AM32">
      <text>
        <t xml:space="preserve">304000/12/05/B11</t>
      </text>
    </comment>
    <comment authorId="0" ref="AM346">
      <text>
        <t xml:space="preserve">60000/07/06B01</t>
      </text>
    </comment>
    <comment authorId="0" ref="AM313">
      <text>
        <t xml:space="preserve">200000/04/06B01
175000/07/06</t>
      </text>
    </comment>
    <comment authorId="0" ref="AM280">
      <text>
        <t xml:space="preserve">329000/02/06B01</t>
      </text>
    </comment>
    <comment authorId="0" ref="AM247">
      <text>
        <t xml:space="preserve">25000/31/05B01</t>
      </text>
    </comment>
    <comment authorId="0" ref="AM148">
      <text>
        <t xml:space="preserve">117000/21/05B12</t>
      </text>
    </comment>
    <comment authorId="0" ref="AL49">
      <text>
        <t xml:space="preserve">25000/05/11
180000/20/05B12</t>
      </text>
    </comment>
    <comment authorId="0" ref="AM82">
      <text>
        <t xml:space="preserve">274000/17/05B12</t>
      </text>
    </comment>
    <comment authorId="0" ref="AM16">
      <text>
        <t xml:space="preserve">30000/07/5B11</t>
      </text>
    </comment>
    <comment authorId="0" ref="AM363">
      <text>
        <t xml:space="preserve">544000/08/06</t>
      </text>
    </comment>
    <comment authorId="0" ref="AM330">
      <text>
        <t xml:space="preserve">80000/04/06B01</t>
      </text>
    </comment>
    <comment authorId="0" ref="AM297">
      <text>
        <t xml:space="preserve">800000/03/06B01
100000/04/06B01</t>
      </text>
    </comment>
    <comment authorId="0" ref="AM264">
      <text>
        <t xml:space="preserve">462000/31/05B01</t>
      </text>
    </comment>
  </commentList>
</comments>
</file>

<file path=xl/sharedStrings.xml><?xml version="1.0" encoding="utf-8"?>
<sst xmlns="http://schemas.openxmlformats.org/spreadsheetml/2006/main" count="1957" uniqueCount="656">
  <si>
    <t>MERDAS  SAMIR</t>
  </si>
  <si>
    <t>Situation Client 2021-2022</t>
  </si>
  <si>
    <t xml:space="preserve">INFOS </t>
  </si>
  <si>
    <t>MS</t>
  </si>
  <si>
    <t>E-MAIL</t>
  </si>
  <si>
    <t>BOUMERDES</t>
  </si>
  <si>
    <t>NEM</t>
  </si>
  <si>
    <t>TALAOOURAR YOUNES</t>
  </si>
  <si>
    <t>GS</t>
  </si>
  <si>
    <t xml:space="preserve">TUTEUR </t>
  </si>
  <si>
    <t>CORSO</t>
  </si>
  <si>
    <t>NOM</t>
  </si>
  <si>
    <t>BELRECHID</t>
  </si>
  <si>
    <t>1AP</t>
  </si>
  <si>
    <t>SAHEL</t>
  </si>
  <si>
    <t>niveau</t>
  </si>
  <si>
    <t>HARBI</t>
  </si>
  <si>
    <t>CP</t>
  </si>
  <si>
    <t xml:space="preserve">CLASSE </t>
  </si>
  <si>
    <t>FIGUIER</t>
  </si>
  <si>
    <t>MOULFI</t>
  </si>
  <si>
    <t xml:space="preserve">OPTION </t>
  </si>
  <si>
    <t>2AP</t>
  </si>
  <si>
    <t xml:space="preserve">ZEMOURI </t>
  </si>
  <si>
    <t>REMISE</t>
  </si>
  <si>
    <t>Etat des versements</t>
  </si>
  <si>
    <t>HAMADACHE</t>
  </si>
  <si>
    <t>CE1</t>
  </si>
  <si>
    <t xml:space="preserve">JUSTIFICATION </t>
  </si>
  <si>
    <t>BOUDOUAOU</t>
  </si>
  <si>
    <t>HASSAIN</t>
  </si>
  <si>
    <t>DEVIS ANNUEL</t>
  </si>
  <si>
    <t>3AP</t>
  </si>
  <si>
    <t>REGHIAA</t>
  </si>
  <si>
    <t>SLIMANI</t>
  </si>
  <si>
    <t>CE2</t>
  </si>
  <si>
    <t xml:space="preserve">REMBOURCEMENT </t>
  </si>
  <si>
    <t>ROUIBA</t>
  </si>
  <si>
    <t xml:space="preserve">DETTES </t>
  </si>
  <si>
    <t>4AP</t>
  </si>
  <si>
    <t>BORDJ MNAIL</t>
  </si>
  <si>
    <t>CM1</t>
  </si>
  <si>
    <t>SI MUSTAPHA</t>
  </si>
  <si>
    <t>5AP</t>
  </si>
  <si>
    <t>ISSER</t>
  </si>
  <si>
    <t xml:space="preserve">REGLEMENTS DETTES </t>
  </si>
  <si>
    <t>CM2</t>
  </si>
  <si>
    <t>THENIA</t>
  </si>
  <si>
    <t>TOTAL VERSEMENTS</t>
  </si>
  <si>
    <t>1AAM</t>
  </si>
  <si>
    <t>TOTAL*CREANCE</t>
  </si>
  <si>
    <t>BENI AMRANE</t>
  </si>
  <si>
    <t>2AAM</t>
  </si>
  <si>
    <t>OULED MOUSSA</t>
  </si>
  <si>
    <t xml:space="preserve">CLIENT </t>
  </si>
  <si>
    <t>FI</t>
  </si>
  <si>
    <t>3AAM</t>
  </si>
  <si>
    <t>OULED HEDDAJ /HOUCHE MEKHEFI</t>
  </si>
  <si>
    <t>4AAM</t>
  </si>
  <si>
    <t>KHEMIS KHENCHELA</t>
  </si>
  <si>
    <t>1AS</t>
  </si>
  <si>
    <t>V2</t>
  </si>
  <si>
    <t>TIDJELABINE</t>
  </si>
  <si>
    <t>2AS</t>
  </si>
  <si>
    <t>BENYOUNES</t>
  </si>
  <si>
    <t>2V</t>
  </si>
  <si>
    <t>3AS</t>
  </si>
  <si>
    <t>SOUK ELHAD</t>
  </si>
  <si>
    <t>v3</t>
  </si>
  <si>
    <t>1cs</t>
  </si>
  <si>
    <t>CAP DJENET</t>
  </si>
  <si>
    <t>DISTINATION</t>
  </si>
  <si>
    <t xml:space="preserve">Client </t>
  </si>
  <si>
    <t>2cs</t>
  </si>
  <si>
    <t>MAHAMED OUSSAID</t>
  </si>
  <si>
    <t>1T</t>
  </si>
  <si>
    <t>3cs</t>
  </si>
  <si>
    <t>T2</t>
  </si>
  <si>
    <t>4cs</t>
  </si>
  <si>
    <t>t3</t>
  </si>
  <si>
    <t xml:space="preserve">autiste </t>
  </si>
  <si>
    <t>PSY1</t>
  </si>
  <si>
    <t>PS</t>
  </si>
  <si>
    <t>PSY2</t>
  </si>
  <si>
    <t>TPS</t>
  </si>
  <si>
    <t>ORTH1</t>
  </si>
  <si>
    <t>ORTH2</t>
  </si>
  <si>
    <t>E-PLANT</t>
  </si>
  <si>
    <t>ABDELAOUI</t>
  </si>
  <si>
    <t>Ratrapage</t>
  </si>
  <si>
    <t>SEPTEMBRE</t>
  </si>
  <si>
    <t xml:space="preserve">DATE </t>
  </si>
  <si>
    <t>Devis</t>
  </si>
  <si>
    <t>CREANCES SEPTEMBRE</t>
  </si>
  <si>
    <t>DECEMBRE</t>
  </si>
  <si>
    <t>Devis n°</t>
  </si>
  <si>
    <t>CREANCES DECEMBRE</t>
  </si>
  <si>
    <t>0101/2021/2022</t>
  </si>
  <si>
    <t>MARS</t>
  </si>
  <si>
    <t>CREANCES MARS</t>
  </si>
  <si>
    <t>TOTAL</t>
  </si>
  <si>
    <t>Date</t>
  </si>
  <si>
    <t xml:space="preserve">Validité </t>
  </si>
  <si>
    <t>ELEVES</t>
  </si>
  <si>
    <t xml:space="preserve">DEVIS </t>
  </si>
  <si>
    <t xml:space="preserve">TOTAL VERSE </t>
  </si>
  <si>
    <t xml:space="preserve">RESTE VERSE </t>
  </si>
  <si>
    <t>Prenom élève</t>
  </si>
  <si>
    <t>Classe</t>
  </si>
  <si>
    <t>F I</t>
  </si>
  <si>
    <t>Frais Scolarisation</t>
  </si>
  <si>
    <t xml:space="preserve">Services </t>
  </si>
  <si>
    <t>Total</t>
  </si>
  <si>
    <t>0663701834/0660800317</t>
  </si>
  <si>
    <t>ZIREG LEA</t>
  </si>
  <si>
    <t>PRIM</t>
  </si>
  <si>
    <t>MAHDI</t>
  </si>
  <si>
    <t>ABDELAOUI INES</t>
  </si>
  <si>
    <t>Transport</t>
  </si>
  <si>
    <t>INSCRIPTION</t>
  </si>
  <si>
    <t>AMINE</t>
  </si>
  <si>
    <t>ABDELAOUI SAMY</t>
  </si>
  <si>
    <t>2EME TRANCHE</t>
  </si>
  <si>
    <t>3ème TRANCHE</t>
  </si>
  <si>
    <t>4ème TRANCHE</t>
  </si>
  <si>
    <t xml:space="preserve">Historique Reglements </t>
  </si>
  <si>
    <t>799534750/558498673</t>
  </si>
  <si>
    <t xml:space="preserve">Sous-total </t>
  </si>
  <si>
    <t>MERABTI RIHAM</t>
  </si>
  <si>
    <t>TRNSP</t>
  </si>
  <si>
    <t>Réduction</t>
  </si>
  <si>
    <t>Montant Total DZD</t>
  </si>
  <si>
    <t>DJENAT</t>
  </si>
  <si>
    <t>Nb 01: une remise de  5%   sois</t>
  </si>
  <si>
    <t>est rajoutée si le paiement est effectué en totalité avant le 30 juin 2021</t>
  </si>
  <si>
    <t xml:space="preserve">Nb 02: Toute inscription doit etre confirmée par un versement         ( frais d'inscription + 1er tranche)  </t>
  </si>
  <si>
    <t>BOUAICHA ACIL</t>
  </si>
  <si>
    <t>Note</t>
  </si>
  <si>
    <t xml:space="preserve"> Paiement par chèque,bien notifié l'ordre "Sarl Elimtiyaz"</t>
  </si>
  <si>
    <t xml:space="preserve"> Versement ou du virement bancaire nous renvoyer par mail une copie du bordereau de versement</t>
  </si>
  <si>
    <t xml:space="preserve">  RIB:00400141400004179159</t>
  </si>
  <si>
    <t>KOUBA</t>
  </si>
  <si>
    <t>0102/2021/2022</t>
  </si>
  <si>
    <t>SEDIKI ISHAK</t>
  </si>
  <si>
    <t>COLG</t>
  </si>
  <si>
    <t>CHOUROUK</t>
  </si>
  <si>
    <t>2AM</t>
  </si>
  <si>
    <t>HALA</t>
  </si>
  <si>
    <t>AHLAM</t>
  </si>
  <si>
    <t>SEDIKI YAKOUB</t>
  </si>
  <si>
    <t>ZERGANI MAHDI</t>
  </si>
  <si>
    <t>ZERGANI CHOAIB</t>
  </si>
  <si>
    <t>DJAOUD</t>
  </si>
  <si>
    <t>0103/2021/2022</t>
  </si>
  <si>
    <t>SARA</t>
  </si>
  <si>
    <t>ZERGANI YAHIA</t>
  </si>
  <si>
    <t>YASMINE</t>
  </si>
  <si>
    <t>660811501/553141609</t>
  </si>
  <si>
    <t>YOUCEFI NAZIM</t>
  </si>
  <si>
    <t>REMBOURCEMENT</t>
  </si>
  <si>
    <t>KHALDOUN HACENE</t>
  </si>
  <si>
    <t>KHALDOUNE NOUR</t>
  </si>
  <si>
    <t>LOUNA</t>
  </si>
  <si>
    <t>SEDIKI NASSIM</t>
  </si>
  <si>
    <t>ASMA</t>
  </si>
  <si>
    <t>ZAKARIA</t>
  </si>
  <si>
    <t>NV</t>
  </si>
  <si>
    <t>SEDIKI YACINE</t>
  </si>
  <si>
    <t>HAMADACHE AHMED</t>
  </si>
  <si>
    <t>NEGACHE</t>
  </si>
  <si>
    <t>ALLOUCHE CHAIMA</t>
  </si>
  <si>
    <t>LYC</t>
  </si>
  <si>
    <t>3EM</t>
  </si>
  <si>
    <t>0104/2021/2022</t>
  </si>
  <si>
    <t>30/062021</t>
  </si>
  <si>
    <t>GASSMI YOUNES</t>
  </si>
  <si>
    <t>MED AMINE</t>
  </si>
  <si>
    <t>REKAIA</t>
  </si>
  <si>
    <t>4AM</t>
  </si>
  <si>
    <t>WALID</t>
  </si>
  <si>
    <t>GASSMI YASSINE</t>
  </si>
  <si>
    <t>ABDENOUS ABDERHMAN</t>
  </si>
  <si>
    <t>ABDENOUS ACIL</t>
  </si>
  <si>
    <t>HEBBAZ</t>
  </si>
  <si>
    <t>SITOUAH ALAAEDINE YOUCEF</t>
  </si>
  <si>
    <t>ROAIDA</t>
  </si>
  <si>
    <t>RITADJ</t>
  </si>
  <si>
    <t>AROUA</t>
  </si>
  <si>
    <t>BENYOUCEF ANAIS</t>
  </si>
  <si>
    <t>556517114/661810321</t>
  </si>
  <si>
    <t>LAMARA MED SARA</t>
  </si>
  <si>
    <t>RABIA HACEN</t>
  </si>
  <si>
    <t>MENSOUR DOUHA</t>
  </si>
  <si>
    <t>FOUIDI</t>
  </si>
  <si>
    <t>KHEMIS KHECHNA</t>
  </si>
  <si>
    <t>0105/2021/2022</t>
  </si>
  <si>
    <t>791948957/655583839</t>
  </si>
  <si>
    <t>HAMIDOUCH YANIS</t>
  </si>
  <si>
    <t>2EM</t>
  </si>
  <si>
    <t>MAISSA</t>
  </si>
  <si>
    <t>TAKOUCHET ROUAIA</t>
  </si>
  <si>
    <t>BORDJMNAIL</t>
  </si>
  <si>
    <t>ROUMBOURSSEMENT</t>
  </si>
  <si>
    <t>BERAHIMI RACIM</t>
  </si>
  <si>
    <t>BERAHIMI RIMES</t>
  </si>
  <si>
    <t>OUERDAN</t>
  </si>
  <si>
    <t>REZIG WALID</t>
  </si>
  <si>
    <t>0106/2021/2022</t>
  </si>
  <si>
    <t>ABDERAHMANE</t>
  </si>
  <si>
    <t>C1</t>
  </si>
  <si>
    <t>HIBA</t>
  </si>
  <si>
    <t>TAMERYOULT MALAK</t>
  </si>
  <si>
    <t>55021780/0699648046</t>
  </si>
  <si>
    <t>KESASI ELYAS</t>
  </si>
  <si>
    <t>561678897/562537254</t>
  </si>
  <si>
    <t>ATTOUCHE MASSIL</t>
  </si>
  <si>
    <t>AUTISTE</t>
  </si>
  <si>
    <t>MEDJKANE</t>
  </si>
  <si>
    <t>ABDI DANIA</t>
  </si>
  <si>
    <t>0107/2021/2022</t>
  </si>
  <si>
    <t>DALIL</t>
  </si>
  <si>
    <t>NELIA</t>
  </si>
  <si>
    <t>LOUANCHI RITADJE</t>
  </si>
  <si>
    <t>LOUANCHI MERIEME</t>
  </si>
  <si>
    <t xml:space="preserve">Nb 01: Toute inscription doit etre confirmée par un versement         ( frais d'inscription + 1er tranche)  </t>
  </si>
  <si>
    <t>BENZAOUI KHADIJA</t>
  </si>
  <si>
    <t>1ER</t>
  </si>
  <si>
    <t>KOROGLI</t>
  </si>
  <si>
    <t>BENZAOUIMED TAHA</t>
  </si>
  <si>
    <t>ADEL</t>
  </si>
  <si>
    <t>HOUDA</t>
  </si>
  <si>
    <t>BENZAOUI FATIMA</t>
  </si>
  <si>
    <t>BENZAOUI AHMED YACINE</t>
  </si>
  <si>
    <t>MOUAS LINA</t>
  </si>
  <si>
    <t>MOUAS YOUNES</t>
  </si>
  <si>
    <t>MOKADEM CIDRA</t>
  </si>
  <si>
    <t>MOKADEM RIMA</t>
  </si>
  <si>
    <t>MOKADEM OMAR</t>
  </si>
  <si>
    <t>HAMOUDI ANIAS</t>
  </si>
  <si>
    <t>HAMOUDI DJAOUAD</t>
  </si>
  <si>
    <t>BICHA MED</t>
  </si>
  <si>
    <t>NV4</t>
  </si>
  <si>
    <t>BIDA TASSNIM</t>
  </si>
  <si>
    <t>BIDA MED</t>
  </si>
  <si>
    <t xml:space="preserve">BENABDELKRIM  MED </t>
  </si>
  <si>
    <t>KHELOUI INES</t>
  </si>
  <si>
    <t>KHELOUI HADJER</t>
  </si>
  <si>
    <t>LAOUFI CHAHIN</t>
  </si>
  <si>
    <t>696471214/560054917</t>
  </si>
  <si>
    <t>ABADA YAHIA</t>
  </si>
  <si>
    <t>AZIBI MAISSA</t>
  </si>
  <si>
    <t>AZIBI AMIR</t>
  </si>
  <si>
    <t>REDOUAN RACIM</t>
  </si>
  <si>
    <t>REMDAN MANAR</t>
  </si>
  <si>
    <t>LAGHRIBI MED ABDELMALEK</t>
  </si>
  <si>
    <t>HEMMANI MILINA</t>
  </si>
  <si>
    <t>MEFTAH INES</t>
  </si>
  <si>
    <t>MEFTAH MEREME</t>
  </si>
  <si>
    <t>CHIRIFI  ACIF</t>
  </si>
  <si>
    <t>OULEDMOUSSA</t>
  </si>
  <si>
    <t>BOUCHLAGHEM NELIA</t>
  </si>
  <si>
    <t>BOUCHLAGHEM JUBA</t>
  </si>
  <si>
    <t>BOUCHLAGHEM ANIA</t>
  </si>
  <si>
    <t>551005941/775012713</t>
  </si>
  <si>
    <t>ABID SIRINE</t>
  </si>
  <si>
    <t>FROUKHI MEREIM</t>
  </si>
  <si>
    <t>TABET MED REDA</t>
  </si>
  <si>
    <t>MAHMEL RABAH</t>
  </si>
  <si>
    <t>ZEMMOURI</t>
  </si>
  <si>
    <t>BELAGHA MANIL</t>
  </si>
  <si>
    <t>HALIMI SIRINE</t>
  </si>
  <si>
    <t>HALIMI HADJER</t>
  </si>
  <si>
    <t>HALIMI MAHDI</t>
  </si>
  <si>
    <t>ALLOUNE AMINA</t>
  </si>
  <si>
    <t>ALLOUNE ANES</t>
  </si>
  <si>
    <t>ALLOUNE ABDERHIM</t>
  </si>
  <si>
    <t>GETAF ANIS</t>
  </si>
  <si>
    <t>CHABET</t>
  </si>
  <si>
    <t>GETAF NASSIM</t>
  </si>
  <si>
    <t>CHABAT</t>
  </si>
  <si>
    <t>AZZEDINE AOUSE</t>
  </si>
  <si>
    <t>TOUBAL YOUNES</t>
  </si>
  <si>
    <t>TOUBAL ADEL</t>
  </si>
  <si>
    <t>HEMDOUNE WASSIM</t>
  </si>
  <si>
    <t>KHEMISELKHCHNA</t>
  </si>
  <si>
    <t>MEZIAN ILYES</t>
  </si>
  <si>
    <t>HAMIDI ILYANE</t>
  </si>
  <si>
    <t>HAMADACHE IMANE</t>
  </si>
  <si>
    <t>774909791/0792449566</t>
  </si>
  <si>
    <t>BEDJIL IYAD</t>
  </si>
  <si>
    <t>BEDJIL WAKIL</t>
  </si>
  <si>
    <t>557977768/554962359</t>
  </si>
  <si>
    <t>RACHDI CHAZIA</t>
  </si>
  <si>
    <t>669840195/658598707</t>
  </si>
  <si>
    <t>GAHAM LAYAN AROUA</t>
  </si>
  <si>
    <t>HAOUCHE WASSIM</t>
  </si>
  <si>
    <t>DRIF LINA</t>
  </si>
  <si>
    <t>DERIF ADEM</t>
  </si>
  <si>
    <t>DERIF ANIA</t>
  </si>
  <si>
    <t>771316986/552562428</t>
  </si>
  <si>
    <t>HEMLAOUISOFIA</t>
  </si>
  <si>
    <t>698053535/771616261</t>
  </si>
  <si>
    <t>BOUDERBALA NESRINE</t>
  </si>
  <si>
    <t>BOUDERBALA ILYES</t>
  </si>
  <si>
    <t>BOUDERBALA YACINE</t>
  </si>
  <si>
    <t>ROUIBET CHAKIB</t>
  </si>
  <si>
    <t>ACHOUR NIHAL</t>
  </si>
  <si>
    <t>ACHOUR ILYES</t>
  </si>
  <si>
    <t>770645083/551416257</t>
  </si>
  <si>
    <t>BINAKLI ANEL</t>
  </si>
  <si>
    <t>BINAKLI GHILES</t>
  </si>
  <si>
    <t>TOUILEB ABDERAOUF</t>
  </si>
  <si>
    <t>AFRA ZINEDINE</t>
  </si>
  <si>
    <t>BENIAMRAN</t>
  </si>
  <si>
    <t>BENGHAZI RISEN</t>
  </si>
  <si>
    <t>671532014/0540271214</t>
  </si>
  <si>
    <t>ELOUTAR MERIEM</t>
  </si>
  <si>
    <t>AITTAHER FLOURA</t>
  </si>
  <si>
    <t>0560988717/554208230</t>
  </si>
  <si>
    <t xml:space="preserve">BENHASSEL LINA </t>
  </si>
  <si>
    <t>NEKACHE MASSYL</t>
  </si>
  <si>
    <t>BENMILOUD YOUNES</t>
  </si>
  <si>
    <t>BOUDOUR MARAM</t>
  </si>
  <si>
    <t>PAR MOIS 62600</t>
  </si>
  <si>
    <t>ZIANI ILINE</t>
  </si>
  <si>
    <t>ZIANI IDRIS</t>
  </si>
  <si>
    <t>6603690796/663883238</t>
  </si>
  <si>
    <t>HAMIDI HACEN</t>
  </si>
  <si>
    <t>6603690796/663883239</t>
  </si>
  <si>
    <t>HAMIDI HADJIBRAHIM</t>
  </si>
  <si>
    <t>6603690796/663883240</t>
  </si>
  <si>
    <t>HAMIDI YOUCEF</t>
  </si>
  <si>
    <t>6603690796/663883241</t>
  </si>
  <si>
    <t>HAMIDI YACINE</t>
  </si>
  <si>
    <t>6603690796/663883242</t>
  </si>
  <si>
    <t>HAMIDI HOUCINE</t>
  </si>
  <si>
    <t>ABED ANES</t>
  </si>
  <si>
    <t>TARZALT NELIA</t>
  </si>
  <si>
    <t>BENLAMARA MED MEZIAN</t>
  </si>
  <si>
    <t>REGHAIA</t>
  </si>
  <si>
    <t>ZEMMOURI ACIL</t>
  </si>
  <si>
    <t>ZEMMOURI MEREIME</t>
  </si>
  <si>
    <t>ZEMMOURI TASSNIM</t>
  </si>
  <si>
    <t>BOUDALIA NIHAL</t>
  </si>
  <si>
    <t>BOUDOULIA NESRINE</t>
  </si>
  <si>
    <t>METAH NADA</t>
  </si>
  <si>
    <t>METAH YAHIA</t>
  </si>
  <si>
    <t>YAHYAOUI TASSNIM</t>
  </si>
  <si>
    <t>YAHYAOUI LOUAI</t>
  </si>
  <si>
    <t>676904242/7704046052</t>
  </si>
  <si>
    <t>CHALABI WISSAL</t>
  </si>
  <si>
    <t>BOUMERDES20000</t>
  </si>
  <si>
    <t>CHALABI ADEM</t>
  </si>
  <si>
    <t>SADOUNI ALINA</t>
  </si>
  <si>
    <t>REZAG NAILA</t>
  </si>
  <si>
    <t>REZAG YOUNES</t>
  </si>
  <si>
    <t>REZAG LINA</t>
  </si>
  <si>
    <t>CLYC</t>
  </si>
  <si>
    <t>HALYI AICHA</t>
  </si>
  <si>
    <t>HALYI TASSNIM</t>
  </si>
  <si>
    <t>BOUCIF RYM</t>
  </si>
  <si>
    <t>BOUTELDJI ALICIA</t>
  </si>
  <si>
    <t>HEBROUCH MARIA</t>
  </si>
  <si>
    <t>BOUFAGHES AYOUB</t>
  </si>
  <si>
    <t>31800 PAR MOIS</t>
  </si>
  <si>
    <t>REZAL ADEM</t>
  </si>
  <si>
    <t>HADHOUM ADEM</t>
  </si>
  <si>
    <t>BERIKI MAROUA</t>
  </si>
  <si>
    <t>HADJESABRI  ANES</t>
  </si>
  <si>
    <t>RAHMOUN SOHAIB</t>
  </si>
  <si>
    <t>NV3</t>
  </si>
  <si>
    <t>ZIYAD ADEM</t>
  </si>
  <si>
    <t>BENBOURAHLA SOFIA</t>
  </si>
  <si>
    <t>BENBOURAHLA CHIRIN</t>
  </si>
  <si>
    <t>BENBOURAHLA DANIA</t>
  </si>
  <si>
    <t>ISSAADI  IYAS</t>
  </si>
  <si>
    <t>SOUMER CHAKIB</t>
  </si>
  <si>
    <t>779933786/797094126</t>
  </si>
  <si>
    <t>BELLAL DOUAA</t>
  </si>
  <si>
    <t>ALIOUAT LINDA</t>
  </si>
  <si>
    <t>BENDIFLLAH AMIR</t>
  </si>
  <si>
    <t>BECHAN IYAD</t>
  </si>
  <si>
    <t>BECHAN MARAM</t>
  </si>
  <si>
    <t>LAOUIDI LINA</t>
  </si>
  <si>
    <t>BOUCHLALAA IKRAM</t>
  </si>
  <si>
    <t>BOUADOU AZAD</t>
  </si>
  <si>
    <t>BECHICHI IYAD</t>
  </si>
  <si>
    <t>ATTOUCH MARAM</t>
  </si>
  <si>
    <t>ZEMMOUR AMEL</t>
  </si>
  <si>
    <t>MEGDOUD DJAD</t>
  </si>
  <si>
    <t>TELAILIA SALAHEDIN</t>
  </si>
  <si>
    <t>ZAD WASSIM</t>
  </si>
  <si>
    <t>FOUIDI MAISSA</t>
  </si>
  <si>
    <t>FOUIDI INES</t>
  </si>
  <si>
    <t>KHIREDINE ILINE</t>
  </si>
  <si>
    <t>BENZAOUI DJOUAD</t>
  </si>
  <si>
    <t>BENZAOUI SAID</t>
  </si>
  <si>
    <t>SOUAG RIHAM</t>
  </si>
  <si>
    <t>TOURKI YOUCEF</t>
  </si>
  <si>
    <t>HADOUCHD DANI</t>
  </si>
  <si>
    <t>771762903/542875140</t>
  </si>
  <si>
    <t>TAHIR AHMED GHAIT</t>
  </si>
  <si>
    <t>DJAFER MILISSA</t>
  </si>
  <si>
    <t>ERBATACHE</t>
  </si>
  <si>
    <t>ZEROUK FATIMA</t>
  </si>
  <si>
    <t>ZEROUK AHMED YACINE</t>
  </si>
  <si>
    <t>ZEROUK MED ABDELMOUMEN</t>
  </si>
  <si>
    <t>HOUASEN MED WALID</t>
  </si>
  <si>
    <t>REZAOUI ILYAN</t>
  </si>
  <si>
    <t>SELLAM CHAIMA</t>
  </si>
  <si>
    <t>DJAIZ ZAYN</t>
  </si>
  <si>
    <t>BENDIFLLAH SAMYI</t>
  </si>
  <si>
    <t>BENSAED MED DJAZIL</t>
  </si>
  <si>
    <t>DJOUAHRA KHALIL</t>
  </si>
  <si>
    <t>DJOUAHRA LILIA</t>
  </si>
  <si>
    <t>TENSP</t>
  </si>
  <si>
    <t>BAKHLAL IBTISSEM</t>
  </si>
  <si>
    <t xml:space="preserve">BAKHLAL SABRIMA </t>
  </si>
  <si>
    <t>BAKHLAL WISSEM</t>
  </si>
  <si>
    <t>BAKHLAL KARIM</t>
  </si>
  <si>
    <t>ELKRIA ANIA</t>
  </si>
  <si>
    <t>ELKRIA INES</t>
  </si>
  <si>
    <t>ELKRIA TALIN</t>
  </si>
  <si>
    <t>OULEDHEDADJ</t>
  </si>
  <si>
    <t>LOUNACI AGHILES</t>
  </si>
  <si>
    <t>LOUNACI YOUNES</t>
  </si>
  <si>
    <t>BOUSLAH MARIA</t>
  </si>
  <si>
    <t>667772179/559067652</t>
  </si>
  <si>
    <t>NACEF LIDIA</t>
  </si>
  <si>
    <t>BOUROUBAA MED ANES</t>
  </si>
  <si>
    <t>TABOUCHENT GHOFRAN</t>
  </si>
  <si>
    <t>MAHMOUDI SARA</t>
  </si>
  <si>
    <t>TOUATI ABDERHMAN</t>
  </si>
  <si>
    <t xml:space="preserve">ABDELLAOUI MED </t>
  </si>
  <si>
    <t>ABDELLAOUI MED RACIM</t>
  </si>
  <si>
    <t>ABDELLAOUI RIHAN</t>
  </si>
  <si>
    <t>ALLOU ABDERHIM</t>
  </si>
  <si>
    <t>REBAHI ILYES</t>
  </si>
  <si>
    <t>HEBIB ANAIS</t>
  </si>
  <si>
    <t>HEBIB AMANI</t>
  </si>
  <si>
    <t>REZAK  RAYAN</t>
  </si>
  <si>
    <t>REZAK ADEM</t>
  </si>
  <si>
    <t>REZAK AYLA</t>
  </si>
  <si>
    <t>BEKKOUCH MERIEM</t>
  </si>
  <si>
    <t>BEKKOUCH LINA</t>
  </si>
  <si>
    <t>BEKKOUCH NESRINE</t>
  </si>
  <si>
    <t>AMARA SAID RAYAN</t>
  </si>
  <si>
    <t>IHEDADEN YACINE</t>
  </si>
  <si>
    <t>IFTAN MASSIL</t>
  </si>
  <si>
    <t>YAYCI AKCIL</t>
  </si>
  <si>
    <t>YAYCI MASSYLE</t>
  </si>
  <si>
    <t>YAYCI SYRIA</t>
  </si>
  <si>
    <t>HEMLAOUI ISSLEM</t>
  </si>
  <si>
    <t>AMBER IBRAHIM</t>
  </si>
  <si>
    <t>ZEMMOURI SAED</t>
  </si>
  <si>
    <t>ZEMMOURI MEREIEM</t>
  </si>
  <si>
    <t>661607648/773570162</t>
  </si>
  <si>
    <t>BELGRIMAT LINA</t>
  </si>
  <si>
    <t>BELGRIMAT MILINA</t>
  </si>
  <si>
    <t>ATTAB YANI</t>
  </si>
  <si>
    <t>ATTAB DANIA</t>
  </si>
  <si>
    <t>ELMAHDAOUI WASSIM</t>
  </si>
  <si>
    <t>BON01</t>
  </si>
  <si>
    <t>773021710/770496556</t>
  </si>
  <si>
    <t>REBAHI ELYES</t>
  </si>
  <si>
    <t>LAGATA</t>
  </si>
  <si>
    <t>SIDI MAMER SAMYI</t>
  </si>
  <si>
    <t>NAGHMOUCH  YANIS MED</t>
  </si>
  <si>
    <t>DJEMAA WASSIM</t>
  </si>
  <si>
    <t>NV2</t>
  </si>
  <si>
    <t>558274831/558206094</t>
  </si>
  <si>
    <t>OUAZAR SARA</t>
  </si>
  <si>
    <t>OUAZAR SAMYI</t>
  </si>
  <si>
    <t>BENHAMED MILINA</t>
  </si>
  <si>
    <t>BENHAMED NELIA</t>
  </si>
  <si>
    <t>GHENAI SOFIA</t>
  </si>
  <si>
    <t>ALLOUDA ZAKRIA</t>
  </si>
  <si>
    <t>OUALI ILINE</t>
  </si>
  <si>
    <t>540875675/552362308</t>
  </si>
  <si>
    <t>TERTAK MASSIL</t>
  </si>
  <si>
    <t>GHAZIBAOUN MED</t>
  </si>
  <si>
    <t>KOUBAA CHOUROK</t>
  </si>
  <si>
    <t>KOUBAA HALA</t>
  </si>
  <si>
    <t>KOUBAA AHLAM</t>
  </si>
  <si>
    <t>KOUBAA DJANA</t>
  </si>
  <si>
    <t>KHIREDINE IYAD</t>
  </si>
  <si>
    <t>ALLOU MED AMIR</t>
  </si>
  <si>
    <t xml:space="preserve">SALHI NOURHAN </t>
  </si>
  <si>
    <t>SALHI MARAM</t>
  </si>
  <si>
    <t>DJAOUD YASSMIN</t>
  </si>
  <si>
    <t>DJAOUD SARA</t>
  </si>
  <si>
    <t xml:space="preserve">AZIZI MED </t>
  </si>
  <si>
    <t>OULEDHDADJ</t>
  </si>
  <si>
    <t>AZIZI MOUSAB</t>
  </si>
  <si>
    <t>AZIZI HAITHEM</t>
  </si>
  <si>
    <t>NV5</t>
  </si>
  <si>
    <t>BOUMCHOUAN LINA</t>
  </si>
  <si>
    <t>DIHIIMI HAITHEM</t>
  </si>
  <si>
    <t>RIAL  AMIRA</t>
  </si>
  <si>
    <t>LYCI</t>
  </si>
  <si>
    <t>661519304/55972060</t>
  </si>
  <si>
    <t>BERA ADEM</t>
  </si>
  <si>
    <t>BERA AYA</t>
  </si>
  <si>
    <t>KHEMISI MILINA</t>
  </si>
  <si>
    <t>MEDJIDEL MANEL</t>
  </si>
  <si>
    <t>FERDIA BARAA</t>
  </si>
  <si>
    <t>ABDELAOUI SAMYI</t>
  </si>
  <si>
    <t>ABDELAOUI RAZAN</t>
  </si>
  <si>
    <t>HAIL IMANE</t>
  </si>
  <si>
    <t>661114117/557393290</t>
  </si>
  <si>
    <t>DJEDID INES</t>
  </si>
  <si>
    <t>555804059/779620803</t>
  </si>
  <si>
    <t>MEDJEDEL MED AYMEN</t>
  </si>
  <si>
    <t>MEDJEDEL ANES</t>
  </si>
  <si>
    <t>796782985/770774928</t>
  </si>
  <si>
    <t>YAMMI INES</t>
  </si>
  <si>
    <t>YAMMI MED AMEZIANE</t>
  </si>
  <si>
    <t>GHERBI WASSIM</t>
  </si>
  <si>
    <t>KESASI LILIA</t>
  </si>
  <si>
    <t>BOUROUROU MED HIATHEM</t>
  </si>
  <si>
    <t>32800 PAR MOIS</t>
  </si>
  <si>
    <t>AZAZNA HOUCEM</t>
  </si>
  <si>
    <t>AZAZNA ILINE</t>
  </si>
  <si>
    <t>662508266/557155141</t>
  </si>
  <si>
    <t>LOUNA ASSMA</t>
  </si>
  <si>
    <t>LOUNA ZAKRIA</t>
  </si>
  <si>
    <t>LOUNA MED AMINE</t>
  </si>
  <si>
    <t xml:space="preserve">LOUNA AYOUB </t>
  </si>
  <si>
    <t>GHISSI MAYA MALAK</t>
  </si>
  <si>
    <t>556908672/556551314</t>
  </si>
  <si>
    <t>BOUISSRI  NASSIM</t>
  </si>
  <si>
    <t>DJEMAA ZINEB</t>
  </si>
  <si>
    <t>664776136/557886996</t>
  </si>
  <si>
    <t>SEMMAR MEREIM</t>
  </si>
  <si>
    <t>0556324638-0540181197</t>
  </si>
  <si>
    <t>DOUKHALI KHALIL</t>
  </si>
  <si>
    <t>KHEMISKHCHNA</t>
  </si>
  <si>
    <t>TOUIDJINE LOUAI</t>
  </si>
  <si>
    <t>-</t>
  </si>
  <si>
    <t>TOUIDJIN LOKMAN</t>
  </si>
  <si>
    <t>BOULKROUN RAHIL</t>
  </si>
  <si>
    <t>BOULKROUN MEREIME</t>
  </si>
  <si>
    <t>OUAGNOUNI NIHAL</t>
  </si>
  <si>
    <t>SAHRAOUI  AMIR</t>
  </si>
  <si>
    <t>SAHRAOUI WIDAD</t>
  </si>
  <si>
    <t xml:space="preserve">SAHRAOUI DJASER </t>
  </si>
  <si>
    <t>SAHRAOUI  SALAM DAKER</t>
  </si>
  <si>
    <t>SEMAAN ZAKRIA</t>
  </si>
  <si>
    <t>SEMAAN ABDERHMAN</t>
  </si>
  <si>
    <t>KEDDOUR WASSIM</t>
  </si>
  <si>
    <t>CHIBAN MD AMINE</t>
  </si>
  <si>
    <t>ZOUBIRI MED READ</t>
  </si>
  <si>
    <t>TERCHI AMIR</t>
  </si>
  <si>
    <t>LEGRAA YOUCEF</t>
  </si>
  <si>
    <t>790075443/670303580</t>
  </si>
  <si>
    <t>LOUIHIB LINA</t>
  </si>
  <si>
    <t>CHEBBA IYAD MED</t>
  </si>
  <si>
    <t>HELOUAN LINE</t>
  </si>
  <si>
    <t>CHAREF ISHAK</t>
  </si>
  <si>
    <t>CHAREF YACOBE</t>
  </si>
  <si>
    <t>ALLILI SIDALI</t>
  </si>
  <si>
    <t>ALLILI AYMEN</t>
  </si>
  <si>
    <t>AOUHIB MED AMIR</t>
  </si>
  <si>
    <t>553691234/775184895</t>
  </si>
  <si>
    <t>SAIBI SIRINE</t>
  </si>
  <si>
    <t>SAIBI NIHAL</t>
  </si>
  <si>
    <t>SAIBI ISLEM</t>
  </si>
  <si>
    <t>OUARDAN AYA</t>
  </si>
  <si>
    <t>BOUMREDES</t>
  </si>
  <si>
    <t>OUARDAN FATIMA</t>
  </si>
  <si>
    <t>HADARBACH IMAD</t>
  </si>
  <si>
    <t>DJEEDI  ADEM</t>
  </si>
  <si>
    <t>DJEEDI ZAKRIA</t>
  </si>
  <si>
    <t>DJEEDI AHLAM</t>
  </si>
  <si>
    <t>DJEDDI HAMEZA</t>
  </si>
  <si>
    <t>557676156/661663975</t>
  </si>
  <si>
    <t>TAKI ADEM</t>
  </si>
  <si>
    <t>OULEDHADADJ</t>
  </si>
  <si>
    <t>ZIANI MED</t>
  </si>
  <si>
    <t>ZIANI MAHA</t>
  </si>
  <si>
    <t>ZIANI ABDERAOUF</t>
  </si>
  <si>
    <t>OULEDMOUSA</t>
  </si>
  <si>
    <t xml:space="preserve">BOUHAMADOUCH  RAIHANA </t>
  </si>
  <si>
    <t>ALIOUAT ADEM</t>
  </si>
  <si>
    <t>DJENAN ACIL</t>
  </si>
  <si>
    <t>DJENAN DJAOUAD</t>
  </si>
  <si>
    <t>HABET ABDLMOUMEN</t>
  </si>
  <si>
    <t>HERACHE ABDELALI</t>
  </si>
  <si>
    <t>772214747/553220670</t>
  </si>
  <si>
    <t>HAROUN ANIA</t>
  </si>
  <si>
    <t>KAHIA MALAK</t>
  </si>
  <si>
    <t>TIZAROUINE YACINE</t>
  </si>
  <si>
    <t>TIZAROUINE ABDERAOUF</t>
  </si>
  <si>
    <t>TIZAROUIN MAROUA</t>
  </si>
  <si>
    <t>HEMDANI ADEM</t>
  </si>
  <si>
    <t xml:space="preserve">ZEMMOURI </t>
  </si>
  <si>
    <t>HEMDANI AYMEN</t>
  </si>
  <si>
    <t>MERABET SOHAIB</t>
  </si>
  <si>
    <t>TRNP</t>
  </si>
  <si>
    <t>DAHMANI FARES</t>
  </si>
  <si>
    <t>552777071/661726545</t>
  </si>
  <si>
    <t>SIFI ZINEB</t>
  </si>
  <si>
    <t>ZAMMOUM AMIR</t>
  </si>
  <si>
    <t>ELAOUAR LOUDJAIN</t>
  </si>
  <si>
    <t>ELAOUAR TASSNIM</t>
  </si>
  <si>
    <t>ELAOUAR SAID</t>
  </si>
  <si>
    <t>YAHYAOUI RAYAN</t>
  </si>
  <si>
    <t>TICHAT YANIS</t>
  </si>
  <si>
    <t>TICHAT AMIR</t>
  </si>
  <si>
    <t>OUAAMRI ARIS</t>
  </si>
  <si>
    <t>AMMI AYOUB</t>
  </si>
  <si>
    <t>0551826033/0552633266</t>
  </si>
  <si>
    <t>CHARIF YAHIA</t>
  </si>
  <si>
    <t>CHARIF MED AMINE</t>
  </si>
  <si>
    <t>AZOUAOU  HAACEN</t>
  </si>
  <si>
    <t>AZOUAOU ANIA</t>
  </si>
  <si>
    <t>BENCHABLA ZAKRIA</t>
  </si>
  <si>
    <t>BOUMRDES</t>
  </si>
  <si>
    <t>BENCHABLA HIBA</t>
  </si>
  <si>
    <t>ABDOUNI TASSNIM</t>
  </si>
  <si>
    <t>HAROUN MED</t>
  </si>
  <si>
    <t>555528470/556838560</t>
  </si>
  <si>
    <t>CHARIF ABDERHIM</t>
  </si>
  <si>
    <t>555528470/556838561</t>
  </si>
  <si>
    <t>CHARIF ADEM</t>
  </si>
  <si>
    <t>773201301/554170542</t>
  </si>
  <si>
    <t>BENTRKIA MED</t>
  </si>
  <si>
    <t>ZAIDI IMANE</t>
  </si>
  <si>
    <t>METTCHAT AHMED ABDERAOUF</t>
  </si>
  <si>
    <t>MIRABET OUSSAMA</t>
  </si>
  <si>
    <t>MIRABET ABDELHAI</t>
  </si>
  <si>
    <t>MANSOURI AYLAN</t>
  </si>
  <si>
    <t>TELAILIA ZAID</t>
  </si>
  <si>
    <t>LAKEHAL   MED YACINE</t>
  </si>
  <si>
    <t>LAKEHAL MED AMINE</t>
  </si>
  <si>
    <t>553905718/542663618</t>
  </si>
  <si>
    <t>SEMANI IYAD</t>
  </si>
  <si>
    <t>553905718/542663619</t>
  </si>
  <si>
    <t>SEMANI IDIR</t>
  </si>
  <si>
    <t>551820788/0658923806</t>
  </si>
  <si>
    <t>SIDALI ASIREM</t>
  </si>
  <si>
    <t>SIDALI MED RACHID</t>
  </si>
  <si>
    <t>KACIMI MALAK</t>
  </si>
  <si>
    <t>KACIMI YANICE</t>
  </si>
  <si>
    <t>BENMRZOUGA AMIRA</t>
  </si>
  <si>
    <t>BENMRZOUGA RAFIF AFNAN</t>
  </si>
  <si>
    <t>BENDALI MEREIM</t>
  </si>
  <si>
    <t>KEHILI LINA</t>
  </si>
  <si>
    <t>KEHILI AGHILES</t>
  </si>
  <si>
    <t>KEHILI SALIHA</t>
  </si>
  <si>
    <t>LADOUL MED</t>
  </si>
  <si>
    <t>YOUCEFI AYA</t>
  </si>
  <si>
    <t>YOUCEFI SARA</t>
  </si>
  <si>
    <t>YOUCEFI ANES</t>
  </si>
  <si>
    <t>BOUABDELLAH TOUBA</t>
  </si>
  <si>
    <t>BOUABDELLAH MOURAD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</si>
</sst>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0\ [$DZD]"/>
    <numFmt numFmtId="165" formatCode="[$-40C]d\ mmmm\ yyyy"/>
    <numFmt numFmtId="166" formatCode="D/M/YYYY"/>
    <numFmt numFmtId="167" formatCode="mmmm d"/>
    <numFmt numFmtId="168" formatCode="yyyy/mm/dd"/>
    <numFmt numFmtId="169" formatCode="d mmm"/>
    <numFmt numFmtId="170" formatCode="dd/mm"/>
    <numFmt numFmtId="171" formatCode="d mmmm"/>
    <numFmt numFmtId="172" formatCode="dd/mm/yyyy"/>
  </numFmts>
  <fonts count="35">
    <font>
      <sz val="11.0"/>
      <color rgb="FF000000"/>
      <name val="Calibri"/>
      <scheme val="minor"/>
    </font>
    <font>
      <sz val="12.0"/>
      <color rgb="FF000000"/>
      <name val="Times New Roman"/>
    </font>
    <font>
      <sz val="12.0"/>
      <color rgb="FF000000"/>
      <name val="Calibri"/>
    </font>
    <font>
      <sz val="20.0"/>
      <color rgb="FF000000"/>
      <name val="Arial"/>
    </font>
    <font/>
    <font>
      <color theme="1"/>
      <name val="Calibri"/>
      <scheme val="minor"/>
    </font>
    <font>
      <sz val="12.0"/>
      <color rgb="FF00B050"/>
      <name val="Teko"/>
    </font>
    <font>
      <sz val="11.0"/>
      <color rgb="FF000000"/>
      <name val="Teko"/>
    </font>
    <font>
      <sz val="12.0"/>
      <color rgb="FFFF9900"/>
      <name val="Times New Roman"/>
    </font>
    <font>
      <sz val="11.0"/>
      <color rgb="FF000000"/>
      <name val="Calibri"/>
    </font>
    <font>
      <sz val="12.0"/>
      <color rgb="FF00B050"/>
      <name val="Times New Roman"/>
    </font>
    <font>
      <sz val="12.0"/>
      <color rgb="FFCC0000"/>
      <name val="Times New Roman"/>
    </font>
    <font>
      <b/>
      <sz val="14.0"/>
      <color rgb="FF000000"/>
      <name val="Calibri"/>
    </font>
    <font>
      <b/>
      <sz val="9.0"/>
      <color rgb="FF385623"/>
      <name val="Times New Roman"/>
    </font>
    <font>
      <b/>
      <sz val="16.0"/>
      <color rgb="FF000000"/>
      <name val="Calibri"/>
    </font>
    <font>
      <b/>
      <sz val="7.0"/>
      <color rgb="FF385623"/>
      <name val="Times New Roman"/>
    </font>
    <font>
      <b/>
      <sz val="8.0"/>
      <color rgb="FF385623"/>
      <name val="Times New Roman"/>
    </font>
    <font>
      <b/>
      <sz val="11.0"/>
      <color rgb="FF000000"/>
      <name val="Times New Roman"/>
    </font>
    <font>
      <b/>
      <sz val="9.0"/>
      <color rgb="FF000000"/>
      <name val="Times New Roman"/>
    </font>
    <font>
      <b/>
      <sz val="11.0"/>
      <color rgb="FF000000"/>
      <name val="Calibri"/>
    </font>
    <font>
      <u/>
      <sz val="12.0"/>
      <color rgb="FF00B050"/>
      <name val="Teko"/>
    </font>
    <font>
      <sz val="14.0"/>
      <color rgb="FF000000"/>
      <name val="Calibri"/>
    </font>
    <font>
      <b/>
      <sz val="11.0"/>
      <color rgb="FFFF0000"/>
      <name val="Calibri"/>
    </font>
    <font>
      <b/>
      <sz val="12.0"/>
      <color rgb="FF000000"/>
      <name val="Times New Roman"/>
    </font>
    <font>
      <sz val="14.0"/>
      <color rgb="FF000000"/>
      <name val="Courgette"/>
    </font>
    <font>
      <sz val="9.0"/>
      <color rgb="FF000000"/>
      <name val="Times New Roman"/>
    </font>
    <font>
      <b/>
      <sz val="16.0"/>
      <color rgb="FF000000"/>
      <name val="Times New Roman"/>
    </font>
    <font>
      <sz val="13.0"/>
      <color rgb="FF000000"/>
      <name val="Times New Roman"/>
    </font>
    <font>
      <sz val="13.0"/>
      <color rgb="FF000000"/>
      <name val="&quot;Times New Roman&quot;"/>
    </font>
    <font>
      <sz val="12.0"/>
      <color rgb="FF000000"/>
      <name val="&quot;Times New Roman&quot;"/>
    </font>
    <font>
      <sz val="9.0"/>
      <color rgb="FF000000"/>
      <name val="&quot;Times New Roman&quot;"/>
    </font>
    <font>
      <sz val="11.0"/>
      <color rgb="FF000000"/>
      <name val="Times New Roman"/>
    </font>
    <font>
      <sz val="12.0"/>
      <color rgb="FF4A86E8"/>
      <name val="Times New Roman"/>
    </font>
    <font>
      <sz val="11.0"/>
      <color rgb="FF000000"/>
      <name val="&quot;Times New Roman&quot;"/>
    </font>
    <font>
      <sz val="10.0"/>
      <color rgb="FF000000"/>
      <name val="Times New Roman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8F0FE"/>
        <bgColor rgb="FFE8F0FE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38761D"/>
        <bgColor rgb="FF38761D"/>
      </patternFill>
    </fill>
    <fill>
      <patternFill patternType="solid">
        <fgColor rgb="FF4A86E8"/>
        <bgColor rgb="FF4A86E8"/>
      </patternFill>
    </fill>
    <fill>
      <patternFill patternType="solid">
        <fgColor rgb="FFCC4125"/>
        <bgColor rgb="FFCC4125"/>
      </patternFill>
    </fill>
    <fill>
      <patternFill patternType="solid">
        <fgColor rgb="FF9FC5E8"/>
        <bgColor rgb="FF9FC5E8"/>
      </patternFill>
    </fill>
    <fill>
      <patternFill patternType="solid">
        <fgColor rgb="FFB7E1CD"/>
        <bgColor rgb="FFB7E1CD"/>
      </patternFill>
    </fill>
    <fill>
      <patternFill patternType="solid">
        <fgColor rgb="FF385623"/>
        <bgColor rgb="FF385623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B45F06"/>
        <bgColor rgb="FFB45F06"/>
      </patternFill>
    </fill>
    <fill>
      <patternFill patternType="solid">
        <fgColor rgb="FFC27BA0"/>
        <bgColor rgb="FFC27BA0"/>
      </patternFill>
    </fill>
    <fill>
      <patternFill patternType="solid">
        <fgColor rgb="FFC9DAF8"/>
        <bgColor rgb="FFC9DAF8"/>
      </patternFill>
    </fill>
  </fills>
  <borders count="36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dotted">
        <color rgb="FF44546A"/>
      </left>
      <top style="dotted">
        <color rgb="FF44546A"/>
      </top>
    </border>
    <border>
      <right style="medium">
        <color rgb="FF000000"/>
      </right>
      <top style="dotted">
        <color rgb="FF44546A"/>
      </top>
    </border>
    <border>
      <left/>
      <top/>
      <bottom/>
    </border>
    <border>
      <top style="dotted">
        <color rgb="FF44546A"/>
      </top>
    </border>
    <border>
      <top/>
      <bottom/>
    </border>
    <border>
      <left/>
      <right/>
      <top/>
      <bottom/>
    </border>
    <border>
      <top style="dotted">
        <color rgb="FF44546A"/>
      </top>
      <bottom style="dotted">
        <color rgb="FF44546A"/>
      </bottom>
    </border>
    <border>
      <right style="medium">
        <color rgb="FF000000"/>
      </right>
      <top style="dotted">
        <color rgb="FF44546A"/>
      </top>
      <bottom style="dotted">
        <color rgb="FF44546A"/>
      </bottom>
    </border>
    <border>
      <left style="medium">
        <color rgb="FF44546A"/>
      </left>
      <top style="medium">
        <color rgb="FF44546A"/>
      </top>
      <bottom style="dotted">
        <color rgb="FF44546A"/>
      </bottom>
    </border>
    <border>
      <right style="medium">
        <color rgb="FF44546A"/>
      </right>
      <top style="medium">
        <color rgb="FF44546A"/>
      </top>
      <bottom style="dotted">
        <color rgb="FF44546A"/>
      </bottom>
    </border>
    <border>
      <right style="dotted">
        <color rgb="FF44546A"/>
      </right>
    </border>
    <border>
      <bottom style="dotted">
        <color rgb="FF44546A"/>
      </bottom>
    </border>
    <border>
      <left style="dotted">
        <color rgb="FF44546A"/>
      </left>
      <bottom style="dotted">
        <color rgb="FF44546A"/>
      </bottom>
    </border>
    <border>
      <right style="medium">
        <color rgb="FF000000"/>
      </right>
      <bottom style="dotted">
        <color rgb="FF44546A"/>
      </bottom>
    </border>
    <border>
      <left style="medium">
        <color rgb="FF44546A"/>
      </left>
      <top style="dotted">
        <color rgb="FF44546A"/>
      </top>
    </border>
    <border>
      <right style="medium">
        <color rgb="FF44546A"/>
      </right>
      <top style="dotted">
        <color rgb="FF44546A"/>
      </top>
    </border>
    <border>
      <left style="medium">
        <color rgb="FF44546A"/>
      </left>
      <top style="dotted">
        <color rgb="FF44546A"/>
      </top>
      <bottom style="dotted">
        <color rgb="FF44546A"/>
      </bottom>
    </border>
    <border>
      <right style="medium">
        <color rgb="FF44546A"/>
      </right>
      <top style="dotted">
        <color rgb="FF44546A"/>
      </top>
      <bottom style="dotted">
        <color rgb="FF44546A"/>
      </bottom>
    </border>
    <border>
      <left style="medium">
        <color rgb="FF44546A"/>
      </left>
      <top style="dotted">
        <color rgb="FF44546A"/>
      </top>
      <bottom style="medium">
        <color rgb="FF44546A"/>
      </bottom>
    </border>
    <border>
      <right style="medium">
        <color rgb="FF44546A"/>
      </right>
      <top style="dotted">
        <color rgb="FF44546A"/>
      </top>
      <bottom style="medium">
        <color rgb="FF44546A"/>
      </bottom>
    </border>
    <border>
      <left/>
      <top/>
    </border>
    <border>
      <top/>
    </border>
    <border>
      <left/>
    </border>
    <border>
      <left style="double">
        <color rgb="FF44546A"/>
      </left>
      <right style="double">
        <color rgb="FF44546A"/>
      </right>
      <top style="double">
        <color rgb="FF44546A"/>
      </top>
      <bottom style="double">
        <color rgb="FF44546A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Font="1"/>
    <xf borderId="1" fillId="0" fontId="1" numFmtId="0" xfId="0" applyBorder="1" applyFont="1"/>
    <xf borderId="0" fillId="0" fontId="2" numFmtId="49" xfId="0" applyFont="1" applyNumberFormat="1"/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0" fillId="0" fontId="5" numFmtId="0" xfId="0" applyAlignment="1" applyFont="1">
      <alignment readingOrder="0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6" numFmtId="0" xfId="0" applyAlignment="1" applyBorder="1" applyFont="1">
      <alignment horizontal="center"/>
    </xf>
    <xf borderId="11" fillId="0" fontId="4" numFmtId="0" xfId="0" applyBorder="1" applyFont="1"/>
    <xf borderId="3" fillId="0" fontId="7" numFmtId="0" xfId="0" applyBorder="1" applyFont="1"/>
    <xf borderId="4" fillId="0" fontId="7" numFmtId="0" xfId="0" applyBorder="1" applyFont="1"/>
    <xf borderId="2" fillId="0" fontId="7" numFmtId="0" xfId="0" applyBorder="1" applyFont="1"/>
    <xf borderId="1" fillId="2" fontId="8" numFmtId="0" xfId="0" applyBorder="1" applyFill="1" applyFont="1"/>
    <xf borderId="4" fillId="0" fontId="9" numFmtId="0" xfId="0" applyBorder="1" applyFont="1"/>
    <xf borderId="5" fillId="0" fontId="6" numFmtId="0" xfId="0" applyAlignment="1" applyBorder="1" applyFont="1">
      <alignment horizontal="center"/>
    </xf>
    <xf borderId="1" fillId="0" fontId="10" numFmtId="0" xfId="0" applyBorder="1" applyFont="1"/>
    <xf borderId="0" fillId="0" fontId="6" numFmtId="0" xfId="0" applyAlignment="1" applyFont="1">
      <alignment horizontal="center"/>
    </xf>
    <xf borderId="0" fillId="0" fontId="7" numFmtId="0" xfId="0" applyFont="1"/>
    <xf borderId="1" fillId="0" fontId="11" numFmtId="0" xfId="0" applyBorder="1" applyFont="1"/>
    <xf borderId="6" fillId="0" fontId="7" numFmtId="0" xfId="0" applyBorder="1" applyFont="1"/>
    <xf borderId="0" fillId="0" fontId="9" numFmtId="0" xfId="0" applyAlignment="1" applyFont="1">
      <alignment horizontal="left"/>
    </xf>
    <xf borderId="5" fillId="0" fontId="7" numFmtId="0" xfId="0" applyBorder="1" applyFont="1"/>
    <xf borderId="1" fillId="0" fontId="1" numFmtId="164" xfId="0" applyBorder="1" applyFont="1" applyNumberFormat="1"/>
    <xf borderId="0" fillId="0" fontId="9" numFmtId="0" xfId="0" applyFont="1"/>
    <xf borderId="1" fillId="0" fontId="1" numFmtId="164" xfId="0" applyAlignment="1" applyBorder="1" applyFont="1" applyNumberFormat="1">
      <alignment readingOrder="0"/>
    </xf>
    <xf borderId="0" fillId="0" fontId="9" numFmtId="0" xfId="0" applyAlignment="1" applyFont="1">
      <alignment horizontal="right"/>
    </xf>
    <xf borderId="0" fillId="0" fontId="12" numFmtId="0" xfId="0" applyAlignment="1" applyFont="1">
      <alignment horizontal="left"/>
    </xf>
    <xf borderId="10" fillId="0" fontId="7" numFmtId="0" xfId="0" applyAlignment="1" applyBorder="1" applyFont="1">
      <alignment horizontal="center"/>
    </xf>
    <xf borderId="0" fillId="0" fontId="7" numFmtId="0" xfId="0" applyAlignment="1" applyFont="1">
      <alignment horizontal="right"/>
    </xf>
    <xf borderId="1" fillId="2" fontId="13" numFmtId="164" xfId="0" applyAlignment="1" applyBorder="1" applyFont="1" applyNumberFormat="1">
      <alignment horizontal="center" vertical="center"/>
    </xf>
    <xf borderId="0" fillId="0" fontId="14" numFmtId="0" xfId="0" applyAlignment="1" applyFont="1">
      <alignment horizontal="left" vertical="center"/>
    </xf>
    <xf borderId="1" fillId="2" fontId="15" numFmtId="164" xfId="0" applyAlignment="1" applyBorder="1" applyFont="1" applyNumberFormat="1">
      <alignment horizontal="center" vertical="center"/>
    </xf>
    <xf borderId="0" fillId="0" fontId="9" numFmtId="49" xfId="0" applyAlignment="1" applyFont="1" applyNumberFormat="1">
      <alignment horizontal="right"/>
    </xf>
    <xf borderId="0" fillId="0" fontId="7" numFmtId="165" xfId="0" applyAlignment="1" applyFont="1" applyNumberFormat="1">
      <alignment horizontal="right"/>
    </xf>
    <xf borderId="6" fillId="0" fontId="9" numFmtId="0" xfId="0" applyBorder="1" applyFont="1"/>
    <xf borderId="1" fillId="2" fontId="16" numFmtId="164" xfId="0" applyAlignment="1" applyBorder="1" applyFont="1" applyNumberFormat="1">
      <alignment horizontal="center" vertical="center"/>
    </xf>
    <xf borderId="7" fillId="0" fontId="7" numFmtId="0" xfId="0" applyBorder="1" applyFont="1"/>
    <xf borderId="1" fillId="2" fontId="17" numFmtId="164" xfId="0" applyAlignment="1" applyBorder="1" applyFont="1" applyNumberFormat="1">
      <alignment horizontal="center" vertical="center"/>
    </xf>
    <xf borderId="8" fillId="0" fontId="7" numFmtId="0" xfId="0" applyBorder="1" applyFont="1"/>
    <xf borderId="0" fillId="2" fontId="18" numFmtId="164" xfId="0" applyAlignment="1" applyFont="1" applyNumberFormat="1">
      <alignment horizontal="center" vertical="center"/>
    </xf>
    <xf borderId="9" fillId="0" fontId="9" numFmtId="0" xfId="0" applyBorder="1" applyFont="1"/>
    <xf borderId="0" fillId="0" fontId="9" numFmtId="166" xfId="0" applyAlignment="1" applyFont="1" applyNumberFormat="1">
      <alignment horizontal="right"/>
    </xf>
    <xf borderId="12" fillId="0" fontId="7" numFmtId="164" xfId="0" applyAlignment="1" applyBorder="1" applyFont="1" applyNumberFormat="1">
      <alignment horizontal="center"/>
    </xf>
    <xf borderId="13" fillId="0" fontId="4" numFmtId="0" xfId="0" applyBorder="1" applyFont="1"/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  <xf borderId="14" fillId="3" fontId="19" numFmtId="0" xfId="0" applyAlignment="1" applyBorder="1" applyFill="1" applyFont="1">
      <alignment horizontal="left"/>
    </xf>
    <xf borderId="15" fillId="0" fontId="7" numFmtId="164" xfId="0" applyAlignment="1" applyBorder="1" applyFont="1" applyNumberFormat="1">
      <alignment horizontal="center"/>
    </xf>
    <xf borderId="16" fillId="0" fontId="4" numFmtId="0" xfId="0" applyBorder="1" applyFont="1"/>
    <xf borderId="13" fillId="0" fontId="7" numFmtId="164" xfId="0" applyAlignment="1" applyBorder="1" applyFont="1" applyNumberFormat="1">
      <alignment horizontal="center"/>
    </xf>
    <xf borderId="17" fillId="3" fontId="19" numFmtId="0" xfId="0" applyAlignment="1" applyBorder="1" applyFont="1">
      <alignment horizontal="center"/>
    </xf>
    <xf borderId="14" fillId="3" fontId="19" numFmtId="0" xfId="0" applyAlignment="1" applyBorder="1" applyFont="1">
      <alignment horizontal="center"/>
    </xf>
    <xf borderId="17" fillId="3" fontId="19" numFmtId="0" xfId="0" applyAlignment="1" applyBorder="1" applyFont="1">
      <alignment horizontal="right"/>
    </xf>
    <xf borderId="0" fillId="0" fontId="19" numFmtId="0" xfId="0" applyAlignment="1" applyFont="1">
      <alignment horizontal="left"/>
    </xf>
    <xf borderId="0" fillId="0" fontId="19" numFmtId="0" xfId="0" applyFont="1"/>
    <xf borderId="0" fillId="0" fontId="19" numFmtId="0" xfId="0" applyAlignment="1" applyFont="1">
      <alignment horizontal="right"/>
    </xf>
    <xf borderId="0" fillId="0" fontId="2" numFmtId="0" xfId="0" applyAlignment="1" applyFont="1">
      <alignment horizontal="left"/>
    </xf>
    <xf borderId="18" fillId="0" fontId="7" numFmtId="0" xfId="0" applyBorder="1" applyFont="1"/>
    <xf borderId="19" fillId="0" fontId="7" numFmtId="0" xfId="0" applyBorder="1" applyFont="1"/>
    <xf borderId="12" fillId="0" fontId="7" numFmtId="164" xfId="0" applyAlignment="1" applyBorder="1" applyFont="1" applyNumberFormat="1">
      <alignment horizontal="left"/>
    </xf>
    <xf borderId="0" fillId="0" fontId="7" numFmtId="164" xfId="0" applyFont="1" applyNumberFormat="1"/>
    <xf borderId="0" fillId="0" fontId="9" numFmtId="2" xfId="0" applyAlignment="1" applyFont="1" applyNumberFormat="1">
      <alignment horizontal="left"/>
    </xf>
    <xf borderId="0" fillId="0" fontId="9" numFmtId="2" xfId="0" applyAlignment="1" applyFont="1" applyNumberFormat="1">
      <alignment horizontal="right"/>
    </xf>
    <xf borderId="1" fillId="2" fontId="1" numFmtId="0" xfId="0" applyBorder="1" applyFont="1"/>
    <xf borderId="20" fillId="0" fontId="7" numFmtId="164" xfId="0" applyAlignment="1" applyBorder="1" applyFont="1" applyNumberFormat="1">
      <alignment horizontal="left"/>
    </xf>
    <xf borderId="21" fillId="0" fontId="4" numFmtId="0" xfId="0" applyBorder="1" applyFont="1"/>
    <xf borderId="6" fillId="0" fontId="7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22" fillId="0" fontId="7" numFmtId="0" xfId="0" applyBorder="1" applyFont="1"/>
    <xf borderId="18" fillId="0" fontId="7" numFmtId="0" xfId="0" applyAlignment="1" applyBorder="1" applyFont="1">
      <alignment horizontal="center"/>
    </xf>
    <xf borderId="19" fillId="0" fontId="4" numFmtId="0" xfId="0" applyBorder="1" applyFont="1"/>
    <xf borderId="23" fillId="0" fontId="7" numFmtId="0" xfId="0" applyAlignment="1" applyBorder="1" applyFont="1">
      <alignment horizontal="center"/>
    </xf>
    <xf borderId="24" fillId="0" fontId="7" numFmtId="0" xfId="0" applyAlignment="1" applyBorder="1" applyFont="1">
      <alignment horizontal="center"/>
    </xf>
    <xf borderId="25" fillId="0" fontId="4" numFmtId="0" xfId="0" applyBorder="1" applyFont="1"/>
    <xf borderId="0" fillId="0" fontId="1" numFmtId="0" xfId="0" applyFont="1"/>
    <xf borderId="5" fillId="0" fontId="20" numFmtId="0" xfId="0" applyBorder="1" applyFont="1"/>
    <xf borderId="5" fillId="0" fontId="6" numFmtId="0" xfId="0" applyBorder="1" applyFont="1"/>
    <xf borderId="20" fillId="0" fontId="9" numFmtId="164" xfId="0" applyAlignment="1" applyBorder="1" applyFont="1" applyNumberFormat="1">
      <alignment horizontal="left"/>
    </xf>
    <xf borderId="0" fillId="0" fontId="21" numFmtId="0" xfId="0" applyAlignment="1" applyFont="1">
      <alignment horizontal="left"/>
    </xf>
    <xf borderId="26" fillId="0" fontId="9" numFmtId="164" xfId="0" applyAlignment="1" applyBorder="1" applyFont="1" applyNumberFormat="1">
      <alignment horizontal="left"/>
    </xf>
    <xf borderId="27" fillId="0" fontId="4" numFmtId="0" xfId="0" applyBorder="1" applyFont="1"/>
    <xf borderId="17" fillId="3" fontId="12" numFmtId="0" xfId="0" applyAlignment="1" applyBorder="1" applyFont="1">
      <alignment horizontal="left" vertical="center"/>
    </xf>
    <xf borderId="17" fillId="3" fontId="12" numFmtId="2" xfId="0" applyAlignment="1" applyBorder="1" applyFont="1" applyNumberFormat="1">
      <alignment horizontal="right" vertical="center"/>
    </xf>
    <xf borderId="0" fillId="0" fontId="22" numFmtId="2" xfId="0" applyAlignment="1" applyFont="1" applyNumberFormat="1">
      <alignment horizontal="left"/>
    </xf>
    <xf borderId="0" fillId="0" fontId="23" numFmtId="0" xfId="0" applyAlignment="1" applyFont="1">
      <alignment vertical="center"/>
    </xf>
    <xf borderId="0" fillId="0" fontId="24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5" numFmtId="0" xfId="0" applyAlignment="1" applyFont="1">
      <alignment vertical="center"/>
    </xf>
    <xf borderId="28" fillId="0" fontId="9" numFmtId="164" xfId="0" applyAlignment="1" applyBorder="1" applyFont="1" applyNumberFormat="1">
      <alignment horizontal="left"/>
    </xf>
    <xf borderId="0" fillId="0" fontId="26" numFmtId="164" xfId="0" applyAlignment="1" applyFont="1" applyNumberFormat="1">
      <alignment horizontal="center" vertical="center"/>
    </xf>
    <xf borderId="29" fillId="0" fontId="4" numFmtId="0" xfId="0" applyBorder="1" applyFont="1"/>
    <xf borderId="30" fillId="0" fontId="9" numFmtId="164" xfId="0" applyAlignment="1" applyBorder="1" applyFont="1" applyNumberFormat="1">
      <alignment horizontal="left"/>
    </xf>
    <xf borderId="31" fillId="0" fontId="4" numFmtId="0" xfId="0" applyBorder="1" applyFont="1"/>
    <xf borderId="5" fillId="0" fontId="9" numFmtId="0" xfId="0" applyBorder="1" applyFont="1"/>
    <xf borderId="7" fillId="0" fontId="9" numFmtId="0" xfId="0" applyBorder="1" applyFont="1"/>
    <xf borderId="8" fillId="0" fontId="9" numFmtId="0" xfId="0" applyBorder="1" applyFont="1"/>
    <xf borderId="0" fillId="0" fontId="9" numFmtId="0" xfId="0" applyAlignment="1" applyFont="1">
      <alignment horizontal="left" vertical="center"/>
    </xf>
    <xf borderId="1" fillId="2" fontId="1" numFmtId="0" xfId="0" applyAlignment="1" applyBorder="1" applyFont="1">
      <alignment readingOrder="0"/>
    </xf>
    <xf borderId="1" fillId="4" fontId="1" numFmtId="0" xfId="0" applyBorder="1" applyFill="1" applyFont="1"/>
    <xf borderId="0" fillId="0" fontId="1" numFmtId="0" xfId="0" applyAlignment="1" applyFont="1">
      <alignment readingOrder="0"/>
    </xf>
    <xf borderId="0" fillId="2" fontId="27" numFmtId="0" xfId="0" applyAlignment="1" applyFont="1">
      <alignment horizontal="left" readingOrder="0"/>
    </xf>
    <xf borderId="32" fillId="5" fontId="26" numFmtId="164" xfId="0" applyAlignment="1" applyBorder="1" applyFill="1" applyFont="1" applyNumberFormat="1">
      <alignment horizontal="center" vertical="center"/>
    </xf>
    <xf borderId="33" fillId="0" fontId="4" numFmtId="0" xfId="0" applyBorder="1" applyFont="1"/>
    <xf borderId="34" fillId="0" fontId="4" numFmtId="0" xfId="0" applyBorder="1" applyFont="1"/>
    <xf borderId="0" fillId="2" fontId="5" numFmtId="0" xfId="0" applyFont="1"/>
    <xf borderId="0" fillId="2" fontId="25" numFmtId="0" xfId="0" applyAlignment="1" applyFont="1">
      <alignment horizontal="left" readingOrder="0"/>
    </xf>
    <xf borderId="0" fillId="2" fontId="27" numFmtId="0" xfId="0" applyAlignment="1" applyFont="1">
      <alignment horizontal="right" readingOrder="0"/>
    </xf>
    <xf borderId="1" fillId="6" fontId="1" numFmtId="0" xfId="0" applyBorder="1" applyFill="1" applyFont="1"/>
    <xf borderId="0" fillId="2" fontId="28" numFmtId="0" xfId="0" applyAlignment="1" applyFont="1">
      <alignment horizontal="right" readingOrder="0"/>
    </xf>
    <xf borderId="0" fillId="2" fontId="5" numFmtId="0" xfId="0" applyAlignment="1" applyFont="1">
      <alignment readingOrder="0"/>
    </xf>
    <xf borderId="0" fillId="2" fontId="28" numFmtId="0" xfId="0" applyAlignment="1" applyFont="1">
      <alignment horizontal="left" readingOrder="0"/>
    </xf>
    <xf borderId="0" fillId="2" fontId="29" numFmtId="0" xfId="0" applyAlignment="1" applyFont="1">
      <alignment horizontal="left" readingOrder="0"/>
    </xf>
    <xf borderId="35" fillId="2" fontId="1" numFmtId="0" xfId="0" applyAlignment="1" applyBorder="1" applyFont="1">
      <alignment readingOrder="0"/>
    </xf>
    <xf borderId="1" fillId="0" fontId="1" numFmtId="167" xfId="0" applyAlignment="1" applyBorder="1" applyFont="1" applyNumberFormat="1">
      <alignment readingOrder="0"/>
    </xf>
    <xf borderId="0" fillId="2" fontId="25" numFmtId="0" xfId="0" applyAlignment="1" applyFont="1">
      <alignment horizontal="right" readingOrder="0"/>
    </xf>
    <xf borderId="0" fillId="0" fontId="1" numFmtId="168" xfId="0" applyAlignment="1" applyFont="1" applyNumberFormat="1">
      <alignment readingOrder="0"/>
    </xf>
    <xf borderId="1" fillId="0" fontId="1" numFmtId="169" xfId="0" applyAlignment="1" applyBorder="1" applyFont="1" applyNumberFormat="1">
      <alignment readingOrder="0"/>
    </xf>
    <xf borderId="35" fillId="2" fontId="25" numFmtId="0" xfId="0" applyBorder="1" applyFont="1"/>
    <xf borderId="0" fillId="7" fontId="30" numFmtId="0" xfId="0" applyAlignment="1" applyFill="1" applyFont="1">
      <alignment horizontal="left" readingOrder="0"/>
    </xf>
    <xf borderId="0" fillId="2" fontId="31" numFmtId="0" xfId="0" applyAlignment="1" applyFont="1">
      <alignment horizontal="right" readingOrder="0"/>
    </xf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horizontal="right"/>
    </xf>
    <xf borderId="0" fillId="2" fontId="30" numFmtId="0" xfId="0" applyAlignment="1" applyFont="1">
      <alignment horizontal="left" readingOrder="0"/>
    </xf>
    <xf borderId="0" fillId="2" fontId="25" numFmtId="0" xfId="0" applyAlignment="1" applyFont="1">
      <alignment horizontal="right"/>
    </xf>
    <xf borderId="35" fillId="2" fontId="25" numFmtId="0" xfId="0" applyAlignment="1" applyBorder="1" applyFont="1">
      <alignment readingOrder="0"/>
    </xf>
    <xf borderId="1" fillId="0" fontId="1" numFmtId="170" xfId="0" applyAlignment="1" applyBorder="1" applyFont="1" applyNumberFormat="1">
      <alignment readingOrder="0"/>
    </xf>
    <xf borderId="1" fillId="0" fontId="1" numFmtId="171" xfId="0" applyAlignment="1" applyBorder="1" applyFont="1" applyNumberFormat="1">
      <alignment readingOrder="0"/>
    </xf>
    <xf borderId="1" fillId="0" fontId="1" numFmtId="172" xfId="0" applyBorder="1" applyFont="1" applyNumberFormat="1"/>
    <xf borderId="1" fillId="0" fontId="1" numFmtId="49" xfId="0" applyBorder="1" applyFont="1" applyNumberFormat="1"/>
    <xf borderId="1" fillId="0" fontId="11" numFmtId="49" xfId="0" applyBorder="1" applyFont="1" applyNumberFormat="1"/>
    <xf borderId="1" fillId="0" fontId="1" numFmtId="9" xfId="0" applyBorder="1" applyFont="1" applyNumberFormat="1"/>
    <xf borderId="0" fillId="2" fontId="25" numFmtId="0" xfId="0" applyAlignment="1" applyFont="1">
      <alignment horizontal="left" readingOrder="0" shrinkToFit="0" wrapText="1"/>
    </xf>
    <xf borderId="0" fillId="2" fontId="25" numFmtId="0" xfId="0" applyAlignment="1" applyFont="1">
      <alignment horizontal="left"/>
    </xf>
    <xf borderId="0" fillId="2" fontId="30" numFmtId="0" xfId="0" applyAlignment="1" applyFont="1">
      <alignment horizontal="right" readingOrder="0"/>
    </xf>
    <xf borderId="1" fillId="0" fontId="11" numFmtId="0" xfId="0" applyAlignment="1" applyBorder="1" applyFont="1">
      <alignment readingOrder="0"/>
    </xf>
    <xf borderId="0" fillId="0" fontId="31" numFmtId="0" xfId="0" applyAlignment="1" applyFont="1">
      <alignment horizontal="left" readingOrder="0"/>
    </xf>
    <xf borderId="0" fillId="7" fontId="30" numFmtId="0" xfId="0" applyAlignment="1" applyFont="1">
      <alignment horizontal="right" readingOrder="0"/>
    </xf>
    <xf borderId="35" fillId="7" fontId="25" numFmtId="0" xfId="0" applyBorder="1" applyFont="1"/>
    <xf borderId="0" fillId="7" fontId="25" numFmtId="0" xfId="0" applyAlignment="1" applyFont="1">
      <alignment horizontal="right"/>
    </xf>
    <xf borderId="1" fillId="8" fontId="1" numFmtId="0" xfId="0" applyBorder="1" applyFill="1" applyFont="1"/>
    <xf borderId="0" fillId="7" fontId="27" numFmtId="0" xfId="0" applyAlignment="1" applyFont="1">
      <alignment horizontal="right" readingOrder="0"/>
    </xf>
    <xf borderId="0" fillId="7" fontId="25" numFmtId="0" xfId="0" applyAlignment="1" applyFont="1">
      <alignment horizontal="left"/>
    </xf>
    <xf borderId="0" fillId="7" fontId="25" numFmtId="0" xfId="0" applyAlignment="1" applyFont="1">
      <alignment horizontal="right" readingOrder="0"/>
    </xf>
    <xf borderId="1" fillId="9" fontId="1" numFmtId="0" xfId="0" applyBorder="1" applyFill="1" applyFont="1"/>
    <xf borderId="1" fillId="10" fontId="1" numFmtId="0" xfId="0" applyBorder="1" applyFill="1" applyFont="1"/>
    <xf borderId="0" fillId="2" fontId="31" numFmtId="0" xfId="0" applyAlignment="1" applyFont="1">
      <alignment horizontal="right"/>
    </xf>
    <xf borderId="0" fillId="2" fontId="29" numFmtId="0" xfId="0" applyAlignment="1" applyFont="1">
      <alignment horizontal="right" readingOrder="0"/>
    </xf>
    <xf borderId="1" fillId="11" fontId="32" numFmtId="0" xfId="0" applyBorder="1" applyFill="1" applyFont="1"/>
    <xf borderId="1" fillId="12" fontId="1" numFmtId="0" xfId="0" applyBorder="1" applyFill="1" applyFont="1"/>
    <xf borderId="1" fillId="13" fontId="1" numFmtId="0" xfId="0" applyBorder="1" applyFill="1" applyFont="1"/>
    <xf borderId="1" fillId="0" fontId="23" numFmtId="0" xfId="0" applyBorder="1" applyFont="1"/>
    <xf borderId="0" fillId="7" fontId="1" numFmtId="0" xfId="0" applyAlignment="1" applyFont="1">
      <alignment horizontal="right"/>
    </xf>
    <xf borderId="1" fillId="11" fontId="1" numFmtId="0" xfId="0" applyBorder="1" applyFont="1"/>
    <xf borderId="0" fillId="14" fontId="30" numFmtId="0" xfId="0" applyAlignment="1" applyFill="1" applyFont="1">
      <alignment horizontal="right" readingOrder="0"/>
    </xf>
    <xf borderId="1" fillId="2" fontId="1" numFmtId="164" xfId="0" applyBorder="1" applyFont="1" applyNumberFormat="1"/>
    <xf borderId="1" fillId="15" fontId="1" numFmtId="0" xfId="0" applyBorder="1" applyFill="1" applyFont="1"/>
    <xf borderId="0" fillId="14" fontId="29" numFmtId="0" xfId="0" applyAlignment="1" applyFont="1">
      <alignment horizontal="right" readingOrder="0"/>
    </xf>
    <xf borderId="0" fillId="7" fontId="31" numFmtId="0" xfId="0" applyAlignment="1" applyFont="1">
      <alignment horizontal="left"/>
    </xf>
    <xf borderId="0" fillId="2" fontId="33" numFmtId="0" xfId="0" applyAlignment="1" applyFont="1">
      <alignment horizontal="right" readingOrder="0"/>
    </xf>
    <xf borderId="0" fillId="7" fontId="34" numFmtId="0" xfId="0" applyAlignment="1" applyFont="1">
      <alignment horizontal="right"/>
    </xf>
    <xf borderId="0" fillId="7" fontId="31" numFmtId="0" xfId="0" applyAlignment="1" applyFont="1">
      <alignment horizontal="right" readingOrder="0"/>
    </xf>
    <xf borderId="1" fillId="16" fontId="1" numFmtId="0" xfId="0" applyBorder="1" applyFill="1" applyFont="1"/>
    <xf borderId="1" fillId="17" fontId="1" numFmtId="0" xfId="0" applyBorder="1" applyFill="1" applyFont="1"/>
    <xf borderId="1" fillId="18" fontId="1" numFmtId="0" xfId="0" applyBorder="1" applyFill="1" applyFont="1"/>
    <xf borderId="1" fillId="19" fontId="1" numFmtId="0" xfId="0" applyBorder="1" applyFill="1" applyFont="1"/>
    <xf borderId="1" fillId="20" fontId="1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771525</xdr:colOff>
      <xdr:row>5</xdr:row>
      <xdr:rowOff>228600</xdr:rowOff>
    </xdr:from>
    <xdr:ext cx="3076575" cy="38100"/>
    <xdr:grpSp>
      <xdr:nvGrpSpPr>
        <xdr:cNvPr id="2" name="Shape 2"/>
        <xdr:cNvGrpSpPr/>
      </xdr:nvGrpSpPr>
      <xdr:grpSpPr>
        <a:xfrm>
          <a:off x="3807713" y="3760950"/>
          <a:ext cx="3076575" cy="38100"/>
          <a:chOff x="3807713" y="3760950"/>
          <a:chExt cx="3076575" cy="38100"/>
        </a:xfrm>
      </xdr:grpSpPr>
      <xdr:grpSp>
        <xdr:nvGrpSpPr>
          <xdr:cNvPr id="3" name="Shape 3"/>
          <xdr:cNvGrpSpPr/>
        </xdr:nvGrpSpPr>
        <xdr:grpSpPr>
          <a:xfrm>
            <a:off x="3807713" y="3760950"/>
            <a:ext cx="3076575" cy="38100"/>
            <a:chOff x="3807713" y="3760950"/>
            <a:chExt cx="3076575" cy="38100"/>
          </a:xfrm>
        </xdr:grpSpPr>
        <xdr:sp>
          <xdr:nvSpPr>
            <xdr:cNvPr id="4" name="Shape 4"/>
            <xdr:cNvSpPr/>
          </xdr:nvSpPr>
          <xdr:spPr>
            <a:xfrm>
              <a:off x="3807713" y="3760950"/>
              <a:ext cx="30765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3807713" y="3760950"/>
              <a:ext cx="3076575" cy="38100"/>
              <a:chOff x="3807713" y="3760950"/>
              <a:chExt cx="3076575" cy="38101"/>
            </a:xfrm>
          </xdr:grpSpPr>
          <xdr:sp>
            <xdr:nvSpPr>
              <xdr:cNvPr id="6" name="Shape 6"/>
              <xdr:cNvSpPr/>
            </xdr:nvSpPr>
            <xdr:spPr>
              <a:xfrm>
                <a:off x="3807713" y="3760950"/>
                <a:ext cx="30765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3807713" y="3760950"/>
                <a:ext cx="3076575" cy="38101"/>
                <a:chOff x="3807713" y="3760949"/>
                <a:chExt cx="3076575" cy="38101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3807713" y="3760949"/>
                  <a:ext cx="30765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3807713" y="3760949"/>
                  <a:ext cx="3076575" cy="38101"/>
                  <a:chOff x="3807713" y="3760948"/>
                  <a:chExt cx="3076575" cy="38101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3807713" y="3760949"/>
                    <a:ext cx="30765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3807713" y="3760948"/>
                    <a:ext cx="3076575" cy="38100"/>
                    <a:chOff x="3807713" y="3775238"/>
                    <a:chExt cx="3076575" cy="9525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3807713" y="3775238"/>
                      <a:ext cx="307657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3" name="Shape 13"/>
                    <xdr:cNvCxnSpPr/>
                  </xdr:nvCxnSpPr>
                  <xdr:spPr>
                    <a:xfrm>
                      <a:off x="3807713" y="3775238"/>
                      <a:ext cx="3076575" cy="9525"/>
                    </a:xfrm>
                    <a:prstGeom prst="straightConnector1">
                      <a:avLst/>
                    </a:prstGeom>
                    <a:noFill/>
                    <a:ln cap="flat" cmpd="sng" w="2857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771525</xdr:colOff>
      <xdr:row>53</xdr:row>
      <xdr:rowOff>228600</xdr:rowOff>
    </xdr:from>
    <xdr:ext cx="3076575" cy="38100"/>
    <xdr:grpSp>
      <xdr:nvGrpSpPr>
        <xdr:cNvPr id="2" name="Shape 2"/>
        <xdr:cNvGrpSpPr/>
      </xdr:nvGrpSpPr>
      <xdr:grpSpPr>
        <a:xfrm>
          <a:off x="3807713" y="3760950"/>
          <a:ext cx="3076575" cy="38100"/>
          <a:chOff x="3807713" y="3760950"/>
          <a:chExt cx="3076575" cy="38100"/>
        </a:xfrm>
      </xdr:grpSpPr>
      <xdr:grpSp>
        <xdr:nvGrpSpPr>
          <xdr:cNvPr id="14" name="Shape 14"/>
          <xdr:cNvGrpSpPr/>
        </xdr:nvGrpSpPr>
        <xdr:grpSpPr>
          <a:xfrm>
            <a:off x="3807713" y="3760950"/>
            <a:ext cx="3076575" cy="38100"/>
            <a:chOff x="3807713" y="3760950"/>
            <a:chExt cx="3076575" cy="38100"/>
          </a:xfrm>
        </xdr:grpSpPr>
        <xdr:sp>
          <xdr:nvSpPr>
            <xdr:cNvPr id="4" name="Shape 4"/>
            <xdr:cNvSpPr/>
          </xdr:nvSpPr>
          <xdr:spPr>
            <a:xfrm>
              <a:off x="3807713" y="3760950"/>
              <a:ext cx="30765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" name="Shape 15"/>
            <xdr:cNvGrpSpPr/>
          </xdr:nvGrpSpPr>
          <xdr:grpSpPr>
            <a:xfrm>
              <a:off x="3807713" y="3760950"/>
              <a:ext cx="3076575" cy="38100"/>
              <a:chOff x="3807713" y="3760950"/>
              <a:chExt cx="3076575" cy="38101"/>
            </a:xfrm>
          </xdr:grpSpPr>
          <xdr:sp>
            <xdr:nvSpPr>
              <xdr:cNvPr id="16" name="Shape 16"/>
              <xdr:cNvSpPr/>
            </xdr:nvSpPr>
            <xdr:spPr>
              <a:xfrm>
                <a:off x="3807713" y="3760950"/>
                <a:ext cx="30765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7" name="Shape 17"/>
              <xdr:cNvGrpSpPr/>
            </xdr:nvGrpSpPr>
            <xdr:grpSpPr>
              <a:xfrm>
                <a:off x="3807713" y="3760950"/>
                <a:ext cx="3076575" cy="38101"/>
                <a:chOff x="3807713" y="3760949"/>
                <a:chExt cx="3076575" cy="38101"/>
              </a:xfrm>
            </xdr:grpSpPr>
            <xdr:sp>
              <xdr:nvSpPr>
                <xdr:cNvPr id="18" name="Shape 18"/>
                <xdr:cNvSpPr/>
              </xdr:nvSpPr>
              <xdr:spPr>
                <a:xfrm>
                  <a:off x="3807713" y="3760949"/>
                  <a:ext cx="30765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9" name="Shape 19"/>
                <xdr:cNvGrpSpPr/>
              </xdr:nvGrpSpPr>
              <xdr:grpSpPr>
                <a:xfrm>
                  <a:off x="3807713" y="3760949"/>
                  <a:ext cx="3076575" cy="38101"/>
                  <a:chOff x="3807713" y="3760948"/>
                  <a:chExt cx="3076575" cy="38101"/>
                </a:xfrm>
              </xdr:grpSpPr>
              <xdr:sp>
                <xdr:nvSpPr>
                  <xdr:cNvPr id="20" name="Shape 20"/>
                  <xdr:cNvSpPr/>
                </xdr:nvSpPr>
                <xdr:spPr>
                  <a:xfrm>
                    <a:off x="3807713" y="3760949"/>
                    <a:ext cx="30765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1" name="Shape 21"/>
                  <xdr:cNvGrpSpPr/>
                </xdr:nvGrpSpPr>
                <xdr:grpSpPr>
                  <a:xfrm>
                    <a:off x="3807713" y="3760948"/>
                    <a:ext cx="3076575" cy="38100"/>
                    <a:chOff x="3807713" y="3775238"/>
                    <a:chExt cx="3076575" cy="9525"/>
                  </a:xfrm>
                </xdr:grpSpPr>
                <xdr:sp>
                  <xdr:nvSpPr>
                    <xdr:cNvPr id="22" name="Shape 22"/>
                    <xdr:cNvSpPr/>
                  </xdr:nvSpPr>
                  <xdr:spPr>
                    <a:xfrm>
                      <a:off x="3807713" y="3775238"/>
                      <a:ext cx="307657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23" name="Shape 23"/>
                    <xdr:cNvCxnSpPr/>
                  </xdr:nvCxnSpPr>
                  <xdr:spPr>
                    <a:xfrm>
                      <a:off x="3807713" y="3775238"/>
                      <a:ext cx="3076575" cy="9525"/>
                    </a:xfrm>
                    <a:prstGeom prst="straightConnector1">
                      <a:avLst/>
                    </a:prstGeom>
                    <a:noFill/>
                    <a:ln cap="flat" cmpd="sng" w="2857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771525</xdr:colOff>
      <xdr:row>101</xdr:row>
      <xdr:rowOff>228600</xdr:rowOff>
    </xdr:from>
    <xdr:ext cx="3076575" cy="38100"/>
    <xdr:grpSp>
      <xdr:nvGrpSpPr>
        <xdr:cNvPr id="2" name="Shape 2"/>
        <xdr:cNvGrpSpPr/>
      </xdr:nvGrpSpPr>
      <xdr:grpSpPr>
        <a:xfrm>
          <a:off x="3807713" y="3760950"/>
          <a:ext cx="3076575" cy="38100"/>
          <a:chOff x="3807713" y="3760950"/>
          <a:chExt cx="3076575" cy="38100"/>
        </a:xfrm>
      </xdr:grpSpPr>
      <xdr:grpSp>
        <xdr:nvGrpSpPr>
          <xdr:cNvPr id="24" name="Shape 24"/>
          <xdr:cNvGrpSpPr/>
        </xdr:nvGrpSpPr>
        <xdr:grpSpPr>
          <a:xfrm>
            <a:off x="3807713" y="3760950"/>
            <a:ext cx="3076575" cy="38100"/>
            <a:chOff x="3807713" y="3760950"/>
            <a:chExt cx="3076575" cy="38100"/>
          </a:xfrm>
        </xdr:grpSpPr>
        <xdr:sp>
          <xdr:nvSpPr>
            <xdr:cNvPr id="4" name="Shape 4"/>
            <xdr:cNvSpPr/>
          </xdr:nvSpPr>
          <xdr:spPr>
            <a:xfrm>
              <a:off x="3807713" y="3760950"/>
              <a:ext cx="30765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5" name="Shape 25"/>
            <xdr:cNvGrpSpPr/>
          </xdr:nvGrpSpPr>
          <xdr:grpSpPr>
            <a:xfrm>
              <a:off x="3807713" y="3760950"/>
              <a:ext cx="3076575" cy="38100"/>
              <a:chOff x="3807713" y="3760950"/>
              <a:chExt cx="3076575" cy="38101"/>
            </a:xfrm>
          </xdr:grpSpPr>
          <xdr:sp>
            <xdr:nvSpPr>
              <xdr:cNvPr id="26" name="Shape 26"/>
              <xdr:cNvSpPr/>
            </xdr:nvSpPr>
            <xdr:spPr>
              <a:xfrm>
                <a:off x="3807713" y="3760950"/>
                <a:ext cx="30765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7" name="Shape 27"/>
              <xdr:cNvGrpSpPr/>
            </xdr:nvGrpSpPr>
            <xdr:grpSpPr>
              <a:xfrm>
                <a:off x="3807713" y="3760950"/>
                <a:ext cx="3076575" cy="38101"/>
                <a:chOff x="3807713" y="3760949"/>
                <a:chExt cx="3076575" cy="38101"/>
              </a:xfrm>
            </xdr:grpSpPr>
            <xdr:sp>
              <xdr:nvSpPr>
                <xdr:cNvPr id="28" name="Shape 28"/>
                <xdr:cNvSpPr/>
              </xdr:nvSpPr>
              <xdr:spPr>
                <a:xfrm>
                  <a:off x="3807713" y="3760949"/>
                  <a:ext cx="30765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9" name="Shape 29"/>
                <xdr:cNvGrpSpPr/>
              </xdr:nvGrpSpPr>
              <xdr:grpSpPr>
                <a:xfrm>
                  <a:off x="3807713" y="3760949"/>
                  <a:ext cx="3076575" cy="38101"/>
                  <a:chOff x="3807713" y="3760948"/>
                  <a:chExt cx="3076575" cy="38101"/>
                </a:xfrm>
              </xdr:grpSpPr>
              <xdr:sp>
                <xdr:nvSpPr>
                  <xdr:cNvPr id="30" name="Shape 30"/>
                  <xdr:cNvSpPr/>
                </xdr:nvSpPr>
                <xdr:spPr>
                  <a:xfrm>
                    <a:off x="3807713" y="3760949"/>
                    <a:ext cx="30765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1" name="Shape 31"/>
                  <xdr:cNvGrpSpPr/>
                </xdr:nvGrpSpPr>
                <xdr:grpSpPr>
                  <a:xfrm>
                    <a:off x="3807713" y="3760948"/>
                    <a:ext cx="3076575" cy="38100"/>
                    <a:chOff x="3807713" y="3775238"/>
                    <a:chExt cx="3076575" cy="9525"/>
                  </a:xfrm>
                </xdr:grpSpPr>
                <xdr:sp>
                  <xdr:nvSpPr>
                    <xdr:cNvPr id="32" name="Shape 32"/>
                    <xdr:cNvSpPr/>
                  </xdr:nvSpPr>
                  <xdr:spPr>
                    <a:xfrm>
                      <a:off x="3807713" y="3775238"/>
                      <a:ext cx="307657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33" name="Shape 33"/>
                    <xdr:cNvCxnSpPr/>
                  </xdr:nvCxnSpPr>
                  <xdr:spPr>
                    <a:xfrm>
                      <a:off x="3807713" y="3775238"/>
                      <a:ext cx="3076575" cy="9525"/>
                    </a:xfrm>
                    <a:prstGeom prst="straightConnector1">
                      <a:avLst/>
                    </a:prstGeom>
                    <a:noFill/>
                    <a:ln cap="flat" cmpd="sng" w="2857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771525</xdr:colOff>
      <xdr:row>150</xdr:row>
      <xdr:rowOff>228600</xdr:rowOff>
    </xdr:from>
    <xdr:ext cx="3076575" cy="38100"/>
    <xdr:grpSp>
      <xdr:nvGrpSpPr>
        <xdr:cNvPr id="2" name="Shape 2"/>
        <xdr:cNvGrpSpPr/>
      </xdr:nvGrpSpPr>
      <xdr:grpSpPr>
        <a:xfrm>
          <a:off x="3807713" y="3760950"/>
          <a:ext cx="3076575" cy="38100"/>
          <a:chOff x="3807713" y="3760950"/>
          <a:chExt cx="3076575" cy="38100"/>
        </a:xfrm>
      </xdr:grpSpPr>
      <xdr:grpSp>
        <xdr:nvGrpSpPr>
          <xdr:cNvPr id="34" name="Shape 34"/>
          <xdr:cNvGrpSpPr/>
        </xdr:nvGrpSpPr>
        <xdr:grpSpPr>
          <a:xfrm>
            <a:off x="3807713" y="3760950"/>
            <a:ext cx="3076575" cy="38100"/>
            <a:chOff x="3807713" y="3760950"/>
            <a:chExt cx="3076575" cy="38100"/>
          </a:xfrm>
        </xdr:grpSpPr>
        <xdr:sp>
          <xdr:nvSpPr>
            <xdr:cNvPr id="4" name="Shape 4"/>
            <xdr:cNvSpPr/>
          </xdr:nvSpPr>
          <xdr:spPr>
            <a:xfrm>
              <a:off x="3807713" y="3760950"/>
              <a:ext cx="30765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5" name="Shape 35"/>
            <xdr:cNvGrpSpPr/>
          </xdr:nvGrpSpPr>
          <xdr:grpSpPr>
            <a:xfrm>
              <a:off x="3807713" y="3760950"/>
              <a:ext cx="3076575" cy="38100"/>
              <a:chOff x="3807713" y="3760950"/>
              <a:chExt cx="3076575" cy="38101"/>
            </a:xfrm>
          </xdr:grpSpPr>
          <xdr:sp>
            <xdr:nvSpPr>
              <xdr:cNvPr id="36" name="Shape 36"/>
              <xdr:cNvSpPr/>
            </xdr:nvSpPr>
            <xdr:spPr>
              <a:xfrm>
                <a:off x="3807713" y="3760950"/>
                <a:ext cx="30765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7" name="Shape 37"/>
              <xdr:cNvGrpSpPr/>
            </xdr:nvGrpSpPr>
            <xdr:grpSpPr>
              <a:xfrm>
                <a:off x="3807713" y="3760950"/>
                <a:ext cx="3076575" cy="38101"/>
                <a:chOff x="3807713" y="3760949"/>
                <a:chExt cx="3076575" cy="38101"/>
              </a:xfrm>
            </xdr:grpSpPr>
            <xdr:sp>
              <xdr:nvSpPr>
                <xdr:cNvPr id="38" name="Shape 38"/>
                <xdr:cNvSpPr/>
              </xdr:nvSpPr>
              <xdr:spPr>
                <a:xfrm>
                  <a:off x="3807713" y="3760949"/>
                  <a:ext cx="30765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9" name="Shape 39"/>
                <xdr:cNvGrpSpPr/>
              </xdr:nvGrpSpPr>
              <xdr:grpSpPr>
                <a:xfrm>
                  <a:off x="3807713" y="3760949"/>
                  <a:ext cx="3076575" cy="38101"/>
                  <a:chOff x="3807713" y="3760948"/>
                  <a:chExt cx="3076575" cy="38101"/>
                </a:xfrm>
              </xdr:grpSpPr>
              <xdr:sp>
                <xdr:nvSpPr>
                  <xdr:cNvPr id="40" name="Shape 40"/>
                  <xdr:cNvSpPr/>
                </xdr:nvSpPr>
                <xdr:spPr>
                  <a:xfrm>
                    <a:off x="3807713" y="3760949"/>
                    <a:ext cx="30765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1" name="Shape 41"/>
                  <xdr:cNvGrpSpPr/>
                </xdr:nvGrpSpPr>
                <xdr:grpSpPr>
                  <a:xfrm>
                    <a:off x="3807713" y="3760948"/>
                    <a:ext cx="3076575" cy="38100"/>
                    <a:chOff x="3807713" y="3775238"/>
                    <a:chExt cx="3076575" cy="9525"/>
                  </a:xfrm>
                </xdr:grpSpPr>
                <xdr:sp>
                  <xdr:nvSpPr>
                    <xdr:cNvPr id="42" name="Shape 42"/>
                    <xdr:cNvSpPr/>
                  </xdr:nvSpPr>
                  <xdr:spPr>
                    <a:xfrm>
                      <a:off x="3807713" y="3775238"/>
                      <a:ext cx="307657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43" name="Shape 43"/>
                    <xdr:cNvCxnSpPr/>
                  </xdr:nvCxnSpPr>
                  <xdr:spPr>
                    <a:xfrm>
                      <a:off x="3807713" y="3775238"/>
                      <a:ext cx="3076575" cy="9525"/>
                    </a:xfrm>
                    <a:prstGeom prst="straightConnector1">
                      <a:avLst/>
                    </a:prstGeom>
                    <a:noFill/>
                    <a:ln cap="flat" cmpd="sng" w="2857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771525</xdr:colOff>
      <xdr:row>198</xdr:row>
      <xdr:rowOff>228600</xdr:rowOff>
    </xdr:from>
    <xdr:ext cx="3076575" cy="38100"/>
    <xdr:grpSp>
      <xdr:nvGrpSpPr>
        <xdr:cNvPr id="2" name="Shape 2"/>
        <xdr:cNvGrpSpPr/>
      </xdr:nvGrpSpPr>
      <xdr:grpSpPr>
        <a:xfrm>
          <a:off x="3807713" y="3760950"/>
          <a:ext cx="3076575" cy="38100"/>
          <a:chOff x="3807713" y="3760950"/>
          <a:chExt cx="3076575" cy="38100"/>
        </a:xfrm>
      </xdr:grpSpPr>
      <xdr:grpSp>
        <xdr:nvGrpSpPr>
          <xdr:cNvPr id="44" name="Shape 44"/>
          <xdr:cNvGrpSpPr/>
        </xdr:nvGrpSpPr>
        <xdr:grpSpPr>
          <a:xfrm>
            <a:off x="3807713" y="3760950"/>
            <a:ext cx="3076575" cy="38100"/>
            <a:chOff x="3807713" y="3760950"/>
            <a:chExt cx="3076575" cy="38100"/>
          </a:xfrm>
        </xdr:grpSpPr>
        <xdr:sp>
          <xdr:nvSpPr>
            <xdr:cNvPr id="4" name="Shape 4"/>
            <xdr:cNvSpPr/>
          </xdr:nvSpPr>
          <xdr:spPr>
            <a:xfrm>
              <a:off x="3807713" y="3760950"/>
              <a:ext cx="30765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5" name="Shape 45"/>
            <xdr:cNvGrpSpPr/>
          </xdr:nvGrpSpPr>
          <xdr:grpSpPr>
            <a:xfrm>
              <a:off x="3807713" y="3760950"/>
              <a:ext cx="3076575" cy="38100"/>
              <a:chOff x="3807713" y="3760950"/>
              <a:chExt cx="3076575" cy="38101"/>
            </a:xfrm>
          </xdr:grpSpPr>
          <xdr:sp>
            <xdr:nvSpPr>
              <xdr:cNvPr id="46" name="Shape 46"/>
              <xdr:cNvSpPr/>
            </xdr:nvSpPr>
            <xdr:spPr>
              <a:xfrm>
                <a:off x="3807713" y="3760950"/>
                <a:ext cx="30765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7" name="Shape 47"/>
              <xdr:cNvGrpSpPr/>
            </xdr:nvGrpSpPr>
            <xdr:grpSpPr>
              <a:xfrm>
                <a:off x="3807713" y="3760950"/>
                <a:ext cx="3076575" cy="38101"/>
                <a:chOff x="3807713" y="3760949"/>
                <a:chExt cx="3076575" cy="38101"/>
              </a:xfrm>
            </xdr:grpSpPr>
            <xdr:sp>
              <xdr:nvSpPr>
                <xdr:cNvPr id="48" name="Shape 48"/>
                <xdr:cNvSpPr/>
              </xdr:nvSpPr>
              <xdr:spPr>
                <a:xfrm>
                  <a:off x="3807713" y="3760949"/>
                  <a:ext cx="30765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9" name="Shape 49"/>
                <xdr:cNvGrpSpPr/>
              </xdr:nvGrpSpPr>
              <xdr:grpSpPr>
                <a:xfrm>
                  <a:off x="3807713" y="3760949"/>
                  <a:ext cx="3076575" cy="38101"/>
                  <a:chOff x="3807713" y="3760948"/>
                  <a:chExt cx="3076575" cy="38101"/>
                </a:xfrm>
              </xdr:grpSpPr>
              <xdr:sp>
                <xdr:nvSpPr>
                  <xdr:cNvPr id="50" name="Shape 50"/>
                  <xdr:cNvSpPr/>
                </xdr:nvSpPr>
                <xdr:spPr>
                  <a:xfrm>
                    <a:off x="3807713" y="3760949"/>
                    <a:ext cx="30765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51" name="Shape 51"/>
                  <xdr:cNvGrpSpPr/>
                </xdr:nvGrpSpPr>
                <xdr:grpSpPr>
                  <a:xfrm>
                    <a:off x="3807713" y="3760948"/>
                    <a:ext cx="3076575" cy="38100"/>
                    <a:chOff x="3807713" y="3775238"/>
                    <a:chExt cx="3076575" cy="9525"/>
                  </a:xfrm>
                </xdr:grpSpPr>
                <xdr:sp>
                  <xdr:nvSpPr>
                    <xdr:cNvPr id="52" name="Shape 52"/>
                    <xdr:cNvSpPr/>
                  </xdr:nvSpPr>
                  <xdr:spPr>
                    <a:xfrm>
                      <a:off x="3807713" y="3775238"/>
                      <a:ext cx="307657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53" name="Shape 53"/>
                    <xdr:cNvCxnSpPr/>
                  </xdr:nvCxnSpPr>
                  <xdr:spPr>
                    <a:xfrm>
                      <a:off x="3807713" y="3775238"/>
                      <a:ext cx="3076575" cy="9525"/>
                    </a:xfrm>
                    <a:prstGeom prst="straightConnector1">
                      <a:avLst/>
                    </a:prstGeom>
                    <a:noFill/>
                    <a:ln cap="flat" cmpd="sng" w="2857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771525</xdr:colOff>
      <xdr:row>248</xdr:row>
      <xdr:rowOff>228600</xdr:rowOff>
    </xdr:from>
    <xdr:ext cx="3076575" cy="38100"/>
    <xdr:grpSp>
      <xdr:nvGrpSpPr>
        <xdr:cNvPr id="2" name="Shape 2"/>
        <xdr:cNvGrpSpPr/>
      </xdr:nvGrpSpPr>
      <xdr:grpSpPr>
        <a:xfrm>
          <a:off x="3807713" y="3760950"/>
          <a:ext cx="3076575" cy="38100"/>
          <a:chOff x="3807713" y="3760950"/>
          <a:chExt cx="3076575" cy="38100"/>
        </a:xfrm>
      </xdr:grpSpPr>
      <xdr:grpSp>
        <xdr:nvGrpSpPr>
          <xdr:cNvPr id="54" name="Shape 54"/>
          <xdr:cNvGrpSpPr/>
        </xdr:nvGrpSpPr>
        <xdr:grpSpPr>
          <a:xfrm>
            <a:off x="3807713" y="3760950"/>
            <a:ext cx="3076575" cy="38100"/>
            <a:chOff x="3807713" y="3760950"/>
            <a:chExt cx="3076575" cy="38100"/>
          </a:xfrm>
        </xdr:grpSpPr>
        <xdr:sp>
          <xdr:nvSpPr>
            <xdr:cNvPr id="4" name="Shape 4"/>
            <xdr:cNvSpPr/>
          </xdr:nvSpPr>
          <xdr:spPr>
            <a:xfrm>
              <a:off x="3807713" y="3760950"/>
              <a:ext cx="30765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5" name="Shape 55"/>
            <xdr:cNvGrpSpPr/>
          </xdr:nvGrpSpPr>
          <xdr:grpSpPr>
            <a:xfrm>
              <a:off x="3807713" y="3760950"/>
              <a:ext cx="3076575" cy="38100"/>
              <a:chOff x="3807713" y="3760950"/>
              <a:chExt cx="3076575" cy="38101"/>
            </a:xfrm>
          </xdr:grpSpPr>
          <xdr:sp>
            <xdr:nvSpPr>
              <xdr:cNvPr id="56" name="Shape 56"/>
              <xdr:cNvSpPr/>
            </xdr:nvSpPr>
            <xdr:spPr>
              <a:xfrm>
                <a:off x="3807713" y="3760950"/>
                <a:ext cx="30765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7" name="Shape 57"/>
              <xdr:cNvGrpSpPr/>
            </xdr:nvGrpSpPr>
            <xdr:grpSpPr>
              <a:xfrm>
                <a:off x="3807713" y="3760950"/>
                <a:ext cx="3076575" cy="38101"/>
                <a:chOff x="3807713" y="3760949"/>
                <a:chExt cx="3076575" cy="38101"/>
              </a:xfrm>
            </xdr:grpSpPr>
            <xdr:sp>
              <xdr:nvSpPr>
                <xdr:cNvPr id="58" name="Shape 58"/>
                <xdr:cNvSpPr/>
              </xdr:nvSpPr>
              <xdr:spPr>
                <a:xfrm>
                  <a:off x="3807713" y="3760949"/>
                  <a:ext cx="30765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59" name="Shape 59"/>
                <xdr:cNvGrpSpPr/>
              </xdr:nvGrpSpPr>
              <xdr:grpSpPr>
                <a:xfrm>
                  <a:off x="3807713" y="3760949"/>
                  <a:ext cx="3076575" cy="38101"/>
                  <a:chOff x="3807713" y="3760948"/>
                  <a:chExt cx="3076575" cy="38101"/>
                </a:xfrm>
              </xdr:grpSpPr>
              <xdr:sp>
                <xdr:nvSpPr>
                  <xdr:cNvPr id="60" name="Shape 60"/>
                  <xdr:cNvSpPr/>
                </xdr:nvSpPr>
                <xdr:spPr>
                  <a:xfrm>
                    <a:off x="3807713" y="3760949"/>
                    <a:ext cx="30765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61" name="Shape 61"/>
                  <xdr:cNvGrpSpPr/>
                </xdr:nvGrpSpPr>
                <xdr:grpSpPr>
                  <a:xfrm>
                    <a:off x="3807713" y="3760948"/>
                    <a:ext cx="3076575" cy="38100"/>
                    <a:chOff x="3807713" y="3775238"/>
                    <a:chExt cx="3076575" cy="9525"/>
                  </a:xfrm>
                </xdr:grpSpPr>
                <xdr:sp>
                  <xdr:nvSpPr>
                    <xdr:cNvPr id="62" name="Shape 62"/>
                    <xdr:cNvSpPr/>
                  </xdr:nvSpPr>
                  <xdr:spPr>
                    <a:xfrm>
                      <a:off x="3807713" y="3775238"/>
                      <a:ext cx="307657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63" name="Shape 63"/>
                    <xdr:cNvCxnSpPr/>
                  </xdr:nvCxnSpPr>
                  <xdr:spPr>
                    <a:xfrm>
                      <a:off x="3807713" y="3775238"/>
                      <a:ext cx="3076575" cy="9525"/>
                    </a:xfrm>
                    <a:prstGeom prst="straightConnector1">
                      <a:avLst/>
                    </a:prstGeom>
                    <a:noFill/>
                    <a:ln cap="flat" cmpd="sng" w="2857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771525</xdr:colOff>
      <xdr:row>294</xdr:row>
      <xdr:rowOff>228600</xdr:rowOff>
    </xdr:from>
    <xdr:ext cx="3076575" cy="38100"/>
    <xdr:grpSp>
      <xdr:nvGrpSpPr>
        <xdr:cNvPr id="2" name="Shape 2"/>
        <xdr:cNvGrpSpPr/>
      </xdr:nvGrpSpPr>
      <xdr:grpSpPr>
        <a:xfrm>
          <a:off x="3807713" y="3760950"/>
          <a:ext cx="3076575" cy="38100"/>
          <a:chOff x="3807713" y="3760950"/>
          <a:chExt cx="3076575" cy="38100"/>
        </a:xfrm>
      </xdr:grpSpPr>
      <xdr:grpSp>
        <xdr:nvGrpSpPr>
          <xdr:cNvPr id="64" name="Shape 64"/>
          <xdr:cNvGrpSpPr/>
        </xdr:nvGrpSpPr>
        <xdr:grpSpPr>
          <a:xfrm>
            <a:off x="3807713" y="3760950"/>
            <a:ext cx="3076575" cy="38100"/>
            <a:chOff x="3807713" y="3760950"/>
            <a:chExt cx="3076575" cy="38100"/>
          </a:xfrm>
        </xdr:grpSpPr>
        <xdr:sp>
          <xdr:nvSpPr>
            <xdr:cNvPr id="4" name="Shape 4"/>
            <xdr:cNvSpPr/>
          </xdr:nvSpPr>
          <xdr:spPr>
            <a:xfrm>
              <a:off x="3807713" y="3760950"/>
              <a:ext cx="30765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5" name="Shape 65"/>
            <xdr:cNvGrpSpPr/>
          </xdr:nvGrpSpPr>
          <xdr:grpSpPr>
            <a:xfrm>
              <a:off x="3807713" y="3760950"/>
              <a:ext cx="3076575" cy="38100"/>
              <a:chOff x="3807713" y="3760950"/>
              <a:chExt cx="3076575" cy="38101"/>
            </a:xfrm>
          </xdr:grpSpPr>
          <xdr:sp>
            <xdr:nvSpPr>
              <xdr:cNvPr id="66" name="Shape 66"/>
              <xdr:cNvSpPr/>
            </xdr:nvSpPr>
            <xdr:spPr>
              <a:xfrm>
                <a:off x="3807713" y="3760950"/>
                <a:ext cx="30765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7" name="Shape 67"/>
              <xdr:cNvGrpSpPr/>
            </xdr:nvGrpSpPr>
            <xdr:grpSpPr>
              <a:xfrm>
                <a:off x="3807713" y="3760950"/>
                <a:ext cx="3076575" cy="38101"/>
                <a:chOff x="3807713" y="3760949"/>
                <a:chExt cx="3076575" cy="38101"/>
              </a:xfrm>
            </xdr:grpSpPr>
            <xdr:sp>
              <xdr:nvSpPr>
                <xdr:cNvPr id="68" name="Shape 68"/>
                <xdr:cNvSpPr/>
              </xdr:nvSpPr>
              <xdr:spPr>
                <a:xfrm>
                  <a:off x="3807713" y="3760949"/>
                  <a:ext cx="30765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69" name="Shape 69"/>
                <xdr:cNvGrpSpPr/>
              </xdr:nvGrpSpPr>
              <xdr:grpSpPr>
                <a:xfrm>
                  <a:off x="3807713" y="3760949"/>
                  <a:ext cx="3076575" cy="38101"/>
                  <a:chOff x="3807713" y="3760948"/>
                  <a:chExt cx="3076575" cy="38101"/>
                </a:xfrm>
              </xdr:grpSpPr>
              <xdr:sp>
                <xdr:nvSpPr>
                  <xdr:cNvPr id="70" name="Shape 70"/>
                  <xdr:cNvSpPr/>
                </xdr:nvSpPr>
                <xdr:spPr>
                  <a:xfrm>
                    <a:off x="3807713" y="3760949"/>
                    <a:ext cx="30765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71" name="Shape 71"/>
                  <xdr:cNvGrpSpPr/>
                </xdr:nvGrpSpPr>
                <xdr:grpSpPr>
                  <a:xfrm>
                    <a:off x="3807713" y="3760948"/>
                    <a:ext cx="3076575" cy="38100"/>
                    <a:chOff x="3807713" y="3775238"/>
                    <a:chExt cx="3076575" cy="9525"/>
                  </a:xfrm>
                </xdr:grpSpPr>
                <xdr:sp>
                  <xdr:nvSpPr>
                    <xdr:cNvPr id="72" name="Shape 72"/>
                    <xdr:cNvSpPr/>
                  </xdr:nvSpPr>
                  <xdr:spPr>
                    <a:xfrm>
                      <a:off x="3807713" y="3775238"/>
                      <a:ext cx="307657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73" name="Shape 73"/>
                    <xdr:cNvCxnSpPr/>
                  </xdr:nvCxnSpPr>
                  <xdr:spPr>
                    <a:xfrm>
                      <a:off x="3807713" y="3775238"/>
                      <a:ext cx="3076575" cy="9525"/>
                    </a:xfrm>
                    <a:prstGeom prst="straightConnector1">
                      <a:avLst/>
                    </a:prstGeom>
                    <a:noFill/>
                    <a:ln cap="flat" cmpd="sng" w="2857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771525</xdr:colOff>
      <xdr:row>343</xdr:row>
      <xdr:rowOff>228600</xdr:rowOff>
    </xdr:from>
    <xdr:ext cx="3076575" cy="38100"/>
    <xdr:grpSp>
      <xdr:nvGrpSpPr>
        <xdr:cNvPr id="2" name="Shape 2"/>
        <xdr:cNvGrpSpPr/>
      </xdr:nvGrpSpPr>
      <xdr:grpSpPr>
        <a:xfrm>
          <a:off x="3807713" y="3760950"/>
          <a:ext cx="3076575" cy="38100"/>
          <a:chOff x="3807713" y="3760950"/>
          <a:chExt cx="3076575" cy="38100"/>
        </a:xfrm>
      </xdr:grpSpPr>
      <xdr:grpSp>
        <xdr:nvGrpSpPr>
          <xdr:cNvPr id="74" name="Shape 74"/>
          <xdr:cNvGrpSpPr/>
        </xdr:nvGrpSpPr>
        <xdr:grpSpPr>
          <a:xfrm>
            <a:off x="3807713" y="3760950"/>
            <a:ext cx="3076575" cy="38100"/>
            <a:chOff x="3807713" y="3760950"/>
            <a:chExt cx="3076575" cy="38100"/>
          </a:xfrm>
        </xdr:grpSpPr>
        <xdr:sp>
          <xdr:nvSpPr>
            <xdr:cNvPr id="4" name="Shape 4"/>
            <xdr:cNvSpPr/>
          </xdr:nvSpPr>
          <xdr:spPr>
            <a:xfrm>
              <a:off x="3807713" y="3760950"/>
              <a:ext cx="30765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5" name="Shape 75"/>
            <xdr:cNvGrpSpPr/>
          </xdr:nvGrpSpPr>
          <xdr:grpSpPr>
            <a:xfrm>
              <a:off x="3807713" y="3760950"/>
              <a:ext cx="3076575" cy="38100"/>
              <a:chOff x="3807713" y="3760950"/>
              <a:chExt cx="3076575" cy="38101"/>
            </a:xfrm>
          </xdr:grpSpPr>
          <xdr:sp>
            <xdr:nvSpPr>
              <xdr:cNvPr id="76" name="Shape 76"/>
              <xdr:cNvSpPr/>
            </xdr:nvSpPr>
            <xdr:spPr>
              <a:xfrm>
                <a:off x="3807713" y="3760950"/>
                <a:ext cx="30765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7" name="Shape 77"/>
              <xdr:cNvGrpSpPr/>
            </xdr:nvGrpSpPr>
            <xdr:grpSpPr>
              <a:xfrm>
                <a:off x="3807713" y="3760950"/>
                <a:ext cx="3076575" cy="38101"/>
                <a:chOff x="3807713" y="3760949"/>
                <a:chExt cx="3076575" cy="38101"/>
              </a:xfrm>
            </xdr:grpSpPr>
            <xdr:sp>
              <xdr:nvSpPr>
                <xdr:cNvPr id="78" name="Shape 78"/>
                <xdr:cNvSpPr/>
              </xdr:nvSpPr>
              <xdr:spPr>
                <a:xfrm>
                  <a:off x="3807713" y="3760949"/>
                  <a:ext cx="30765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79" name="Shape 79"/>
                <xdr:cNvGrpSpPr/>
              </xdr:nvGrpSpPr>
              <xdr:grpSpPr>
                <a:xfrm>
                  <a:off x="3807713" y="3760949"/>
                  <a:ext cx="3076575" cy="38101"/>
                  <a:chOff x="3807713" y="3760948"/>
                  <a:chExt cx="3076575" cy="38101"/>
                </a:xfrm>
              </xdr:grpSpPr>
              <xdr:sp>
                <xdr:nvSpPr>
                  <xdr:cNvPr id="80" name="Shape 80"/>
                  <xdr:cNvSpPr/>
                </xdr:nvSpPr>
                <xdr:spPr>
                  <a:xfrm>
                    <a:off x="3807713" y="3760949"/>
                    <a:ext cx="30765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81" name="Shape 81"/>
                  <xdr:cNvGrpSpPr/>
                </xdr:nvGrpSpPr>
                <xdr:grpSpPr>
                  <a:xfrm>
                    <a:off x="3807713" y="3760948"/>
                    <a:ext cx="3076575" cy="38100"/>
                    <a:chOff x="3807713" y="3775238"/>
                    <a:chExt cx="3076575" cy="9525"/>
                  </a:xfrm>
                </xdr:grpSpPr>
                <xdr:sp>
                  <xdr:nvSpPr>
                    <xdr:cNvPr id="82" name="Shape 82"/>
                    <xdr:cNvSpPr/>
                  </xdr:nvSpPr>
                  <xdr:spPr>
                    <a:xfrm>
                      <a:off x="3807713" y="3775238"/>
                      <a:ext cx="307657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83" name="Shape 83"/>
                    <xdr:cNvCxnSpPr/>
                  </xdr:nvCxnSpPr>
                  <xdr:spPr>
                    <a:xfrm>
                      <a:off x="3807713" y="3775238"/>
                      <a:ext cx="3076575" cy="9525"/>
                    </a:xfrm>
                    <a:prstGeom prst="straightConnector1">
                      <a:avLst/>
                    </a:prstGeom>
                    <a:noFill/>
                    <a:ln cap="flat" cmpd="sng" w="2857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771525</xdr:colOff>
      <xdr:row>390</xdr:row>
      <xdr:rowOff>228600</xdr:rowOff>
    </xdr:from>
    <xdr:ext cx="3076575" cy="38100"/>
    <xdr:grpSp>
      <xdr:nvGrpSpPr>
        <xdr:cNvPr id="2" name="Shape 2"/>
        <xdr:cNvGrpSpPr/>
      </xdr:nvGrpSpPr>
      <xdr:grpSpPr>
        <a:xfrm>
          <a:off x="3807713" y="3760950"/>
          <a:ext cx="3076575" cy="38100"/>
          <a:chOff x="3807713" y="3760950"/>
          <a:chExt cx="3076575" cy="38100"/>
        </a:xfrm>
      </xdr:grpSpPr>
      <xdr:grpSp>
        <xdr:nvGrpSpPr>
          <xdr:cNvPr id="84" name="Shape 84"/>
          <xdr:cNvGrpSpPr/>
        </xdr:nvGrpSpPr>
        <xdr:grpSpPr>
          <a:xfrm>
            <a:off x="3807713" y="3760950"/>
            <a:ext cx="3076575" cy="38100"/>
            <a:chOff x="3807713" y="3760950"/>
            <a:chExt cx="3076575" cy="38100"/>
          </a:xfrm>
        </xdr:grpSpPr>
        <xdr:sp>
          <xdr:nvSpPr>
            <xdr:cNvPr id="4" name="Shape 4"/>
            <xdr:cNvSpPr/>
          </xdr:nvSpPr>
          <xdr:spPr>
            <a:xfrm>
              <a:off x="3807713" y="3760950"/>
              <a:ext cx="30765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5" name="Shape 85"/>
            <xdr:cNvGrpSpPr/>
          </xdr:nvGrpSpPr>
          <xdr:grpSpPr>
            <a:xfrm>
              <a:off x="3807713" y="3760950"/>
              <a:ext cx="3076575" cy="38100"/>
              <a:chOff x="3807713" y="3760950"/>
              <a:chExt cx="3076575" cy="38101"/>
            </a:xfrm>
          </xdr:grpSpPr>
          <xdr:sp>
            <xdr:nvSpPr>
              <xdr:cNvPr id="86" name="Shape 86"/>
              <xdr:cNvSpPr/>
            </xdr:nvSpPr>
            <xdr:spPr>
              <a:xfrm>
                <a:off x="3807713" y="3760950"/>
                <a:ext cx="30765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7" name="Shape 87"/>
              <xdr:cNvGrpSpPr/>
            </xdr:nvGrpSpPr>
            <xdr:grpSpPr>
              <a:xfrm>
                <a:off x="3807713" y="3760950"/>
                <a:ext cx="3076575" cy="38101"/>
                <a:chOff x="3807713" y="3760949"/>
                <a:chExt cx="3076575" cy="38101"/>
              </a:xfrm>
            </xdr:grpSpPr>
            <xdr:sp>
              <xdr:nvSpPr>
                <xdr:cNvPr id="88" name="Shape 88"/>
                <xdr:cNvSpPr/>
              </xdr:nvSpPr>
              <xdr:spPr>
                <a:xfrm>
                  <a:off x="3807713" y="3760949"/>
                  <a:ext cx="30765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89" name="Shape 89"/>
                <xdr:cNvGrpSpPr/>
              </xdr:nvGrpSpPr>
              <xdr:grpSpPr>
                <a:xfrm>
                  <a:off x="3807713" y="3760949"/>
                  <a:ext cx="3076575" cy="38101"/>
                  <a:chOff x="3807713" y="3760948"/>
                  <a:chExt cx="3076575" cy="38101"/>
                </a:xfrm>
              </xdr:grpSpPr>
              <xdr:sp>
                <xdr:nvSpPr>
                  <xdr:cNvPr id="90" name="Shape 90"/>
                  <xdr:cNvSpPr/>
                </xdr:nvSpPr>
                <xdr:spPr>
                  <a:xfrm>
                    <a:off x="3807713" y="3760949"/>
                    <a:ext cx="30765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91" name="Shape 91"/>
                  <xdr:cNvGrpSpPr/>
                </xdr:nvGrpSpPr>
                <xdr:grpSpPr>
                  <a:xfrm>
                    <a:off x="3807713" y="3760948"/>
                    <a:ext cx="3076575" cy="38100"/>
                    <a:chOff x="3807713" y="3775238"/>
                    <a:chExt cx="3076575" cy="9525"/>
                  </a:xfrm>
                </xdr:grpSpPr>
                <xdr:sp>
                  <xdr:nvSpPr>
                    <xdr:cNvPr id="92" name="Shape 92"/>
                    <xdr:cNvSpPr/>
                  </xdr:nvSpPr>
                  <xdr:spPr>
                    <a:xfrm>
                      <a:off x="3807713" y="3775238"/>
                      <a:ext cx="307657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93" name="Shape 93"/>
                    <xdr:cNvCxnSpPr/>
                  </xdr:nvCxnSpPr>
                  <xdr:spPr>
                    <a:xfrm>
                      <a:off x="3807713" y="3775238"/>
                      <a:ext cx="3076575" cy="9525"/>
                    </a:xfrm>
                    <a:prstGeom prst="straightConnector1">
                      <a:avLst/>
                    </a:prstGeom>
                    <a:noFill/>
                    <a:ln cap="flat" cmpd="sng" w="2857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771525</xdr:colOff>
      <xdr:row>438</xdr:row>
      <xdr:rowOff>228600</xdr:rowOff>
    </xdr:from>
    <xdr:ext cx="3076575" cy="38100"/>
    <xdr:grpSp>
      <xdr:nvGrpSpPr>
        <xdr:cNvPr id="2" name="Shape 2"/>
        <xdr:cNvGrpSpPr/>
      </xdr:nvGrpSpPr>
      <xdr:grpSpPr>
        <a:xfrm>
          <a:off x="3807713" y="3760950"/>
          <a:ext cx="3076575" cy="38100"/>
          <a:chOff x="3807713" y="3760950"/>
          <a:chExt cx="3076575" cy="38100"/>
        </a:xfrm>
      </xdr:grpSpPr>
      <xdr:grpSp>
        <xdr:nvGrpSpPr>
          <xdr:cNvPr id="94" name="Shape 94"/>
          <xdr:cNvGrpSpPr/>
        </xdr:nvGrpSpPr>
        <xdr:grpSpPr>
          <a:xfrm>
            <a:off x="3807713" y="3760950"/>
            <a:ext cx="3076575" cy="38100"/>
            <a:chOff x="3807713" y="3760950"/>
            <a:chExt cx="3076575" cy="38100"/>
          </a:xfrm>
        </xdr:grpSpPr>
        <xdr:sp>
          <xdr:nvSpPr>
            <xdr:cNvPr id="4" name="Shape 4"/>
            <xdr:cNvSpPr/>
          </xdr:nvSpPr>
          <xdr:spPr>
            <a:xfrm>
              <a:off x="3807713" y="3760950"/>
              <a:ext cx="30765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5" name="Shape 95"/>
            <xdr:cNvGrpSpPr/>
          </xdr:nvGrpSpPr>
          <xdr:grpSpPr>
            <a:xfrm>
              <a:off x="3807713" y="3760950"/>
              <a:ext cx="3076575" cy="38100"/>
              <a:chOff x="3807713" y="3760950"/>
              <a:chExt cx="3076575" cy="38101"/>
            </a:xfrm>
          </xdr:grpSpPr>
          <xdr:sp>
            <xdr:nvSpPr>
              <xdr:cNvPr id="96" name="Shape 96"/>
              <xdr:cNvSpPr/>
            </xdr:nvSpPr>
            <xdr:spPr>
              <a:xfrm>
                <a:off x="3807713" y="3760950"/>
                <a:ext cx="30765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97" name="Shape 97"/>
              <xdr:cNvGrpSpPr/>
            </xdr:nvGrpSpPr>
            <xdr:grpSpPr>
              <a:xfrm>
                <a:off x="3807713" y="3760950"/>
                <a:ext cx="3076575" cy="38101"/>
                <a:chOff x="3807713" y="3760949"/>
                <a:chExt cx="3076575" cy="38101"/>
              </a:xfrm>
            </xdr:grpSpPr>
            <xdr:sp>
              <xdr:nvSpPr>
                <xdr:cNvPr id="98" name="Shape 98"/>
                <xdr:cNvSpPr/>
              </xdr:nvSpPr>
              <xdr:spPr>
                <a:xfrm>
                  <a:off x="3807713" y="3760949"/>
                  <a:ext cx="30765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9" name="Shape 99"/>
                <xdr:cNvGrpSpPr/>
              </xdr:nvGrpSpPr>
              <xdr:grpSpPr>
                <a:xfrm>
                  <a:off x="3807713" y="3760949"/>
                  <a:ext cx="3076575" cy="38101"/>
                  <a:chOff x="3807713" y="3760948"/>
                  <a:chExt cx="3076575" cy="38101"/>
                </a:xfrm>
              </xdr:grpSpPr>
              <xdr:sp>
                <xdr:nvSpPr>
                  <xdr:cNvPr id="100" name="Shape 100"/>
                  <xdr:cNvSpPr/>
                </xdr:nvSpPr>
                <xdr:spPr>
                  <a:xfrm>
                    <a:off x="3807713" y="3760949"/>
                    <a:ext cx="30765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01" name="Shape 101"/>
                  <xdr:cNvGrpSpPr/>
                </xdr:nvGrpSpPr>
                <xdr:grpSpPr>
                  <a:xfrm>
                    <a:off x="3807713" y="3760948"/>
                    <a:ext cx="3076575" cy="38100"/>
                    <a:chOff x="3807713" y="3775238"/>
                    <a:chExt cx="3076575" cy="9525"/>
                  </a:xfrm>
                </xdr:grpSpPr>
                <xdr:sp>
                  <xdr:nvSpPr>
                    <xdr:cNvPr id="102" name="Shape 102"/>
                    <xdr:cNvSpPr/>
                  </xdr:nvSpPr>
                  <xdr:spPr>
                    <a:xfrm>
                      <a:off x="3807713" y="3775238"/>
                      <a:ext cx="307657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03" name="Shape 103"/>
                    <xdr:cNvCxnSpPr/>
                  </xdr:nvCxnSpPr>
                  <xdr:spPr>
                    <a:xfrm>
                      <a:off x="3807713" y="3775238"/>
                      <a:ext cx="3076575" cy="9525"/>
                    </a:xfrm>
                    <a:prstGeom prst="straightConnector1">
                      <a:avLst/>
                    </a:prstGeom>
                    <a:noFill/>
                    <a:ln cap="flat" cmpd="sng" w="2857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400050</xdr:colOff>
      <xdr:row>0</xdr:row>
      <xdr:rowOff>85725</xdr:rowOff>
    </xdr:from>
    <xdr:ext cx="1133475" cy="10096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590550</xdr:colOff>
      <xdr:row>35</xdr:row>
      <xdr:rowOff>180975</xdr:rowOff>
    </xdr:from>
    <xdr:ext cx="342900" cy="3429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48</xdr:row>
      <xdr:rowOff>66675</xdr:rowOff>
    </xdr:from>
    <xdr:ext cx="1133475" cy="10096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590550</xdr:colOff>
      <xdr:row>83</xdr:row>
      <xdr:rowOff>180975</xdr:rowOff>
    </xdr:from>
    <xdr:ext cx="342900" cy="3429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96</xdr:row>
      <xdr:rowOff>66675</xdr:rowOff>
    </xdr:from>
    <xdr:ext cx="1133475" cy="10096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742950</xdr:colOff>
      <xdr:row>133</xdr:row>
      <xdr:rowOff>0</xdr:rowOff>
    </xdr:from>
    <xdr:ext cx="342900" cy="3429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145</xdr:row>
      <xdr:rowOff>66675</xdr:rowOff>
    </xdr:from>
    <xdr:ext cx="1133475" cy="10096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590550</xdr:colOff>
      <xdr:row>181</xdr:row>
      <xdr:rowOff>180975</xdr:rowOff>
    </xdr:from>
    <xdr:ext cx="342900" cy="3429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193</xdr:row>
      <xdr:rowOff>66675</xdr:rowOff>
    </xdr:from>
    <xdr:ext cx="1133475" cy="10096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704850</xdr:colOff>
      <xdr:row>229</xdr:row>
      <xdr:rowOff>152400</xdr:rowOff>
    </xdr:from>
    <xdr:ext cx="342900" cy="3429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243</xdr:row>
      <xdr:rowOff>66675</xdr:rowOff>
    </xdr:from>
    <xdr:ext cx="1133475" cy="10096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771525</xdr:colOff>
      <xdr:row>279</xdr:row>
      <xdr:rowOff>161925</xdr:rowOff>
    </xdr:from>
    <xdr:ext cx="342900" cy="3429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289</xdr:row>
      <xdr:rowOff>66675</xdr:rowOff>
    </xdr:from>
    <xdr:ext cx="1133475" cy="10096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771525</xdr:colOff>
      <xdr:row>325</xdr:row>
      <xdr:rowOff>161925</xdr:rowOff>
    </xdr:from>
    <xdr:ext cx="342900" cy="3429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338</xdr:row>
      <xdr:rowOff>66675</xdr:rowOff>
    </xdr:from>
    <xdr:ext cx="1133475" cy="10096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771525</xdr:colOff>
      <xdr:row>374</xdr:row>
      <xdr:rowOff>161925</xdr:rowOff>
    </xdr:from>
    <xdr:ext cx="342900" cy="3429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385</xdr:row>
      <xdr:rowOff>66675</xdr:rowOff>
    </xdr:from>
    <xdr:ext cx="1133475" cy="10096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771525</xdr:colOff>
      <xdr:row>421</xdr:row>
      <xdr:rowOff>161925</xdr:rowOff>
    </xdr:from>
    <xdr:ext cx="342900" cy="3429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433</xdr:row>
      <xdr:rowOff>66675</xdr:rowOff>
    </xdr:from>
    <xdr:ext cx="1133475" cy="10096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771525</xdr:colOff>
      <xdr:row>469</xdr:row>
      <xdr:rowOff>161925</xdr:rowOff>
    </xdr:from>
    <xdr:ext cx="342900" cy="3429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0.43"/>
    <col customWidth="1" min="3" max="3" width="16.29"/>
    <col customWidth="1" min="4" max="4" width="22.43"/>
    <col customWidth="1" min="5" max="5" width="18.86"/>
    <col customWidth="1" min="6" max="6" width="29.71"/>
    <col customWidth="1" min="7" max="7" width="14.43"/>
    <col customWidth="1" min="8" max="8" width="13.57"/>
    <col customWidth="1" min="11" max="11" width="14.43"/>
    <col customWidth="1" min="12" max="12" width="24.86"/>
    <col customWidth="1" min="13" max="13" width="21.43"/>
    <col customWidth="1" min="16" max="16" width="25.43"/>
    <col customWidth="1" min="17" max="17" width="26.57"/>
    <col customWidth="1" min="22" max="22" width="16.71"/>
  </cols>
  <sheetData>
    <row r="1">
      <c r="A1" s="1"/>
      <c r="B1" s="3" t="s">
        <v>2</v>
      </c>
      <c r="C1" s="3" t="s">
        <v>4</v>
      </c>
      <c r="D1" s="1" t="s">
        <v>6</v>
      </c>
      <c r="E1" s="3" t="s">
        <v>9</v>
      </c>
      <c r="F1" s="7" t="s">
        <v>11</v>
      </c>
      <c r="G1" s="1" t="s">
        <v>15</v>
      </c>
      <c r="H1" s="3" t="s">
        <v>18</v>
      </c>
      <c r="I1" s="3" t="s">
        <v>21</v>
      </c>
      <c r="J1" s="1" t="s">
        <v>24</v>
      </c>
      <c r="K1" s="3" t="s">
        <v>28</v>
      </c>
      <c r="L1" s="3" t="s">
        <v>31</v>
      </c>
      <c r="M1" s="3" t="s">
        <v>36</v>
      </c>
      <c r="N1" s="19" t="s">
        <v>38</v>
      </c>
      <c r="O1" s="3" t="s">
        <v>45</v>
      </c>
      <c r="P1" s="22" t="s">
        <v>48</v>
      </c>
      <c r="Q1" s="25" t="s">
        <v>50</v>
      </c>
      <c r="R1" s="29" t="s">
        <v>55</v>
      </c>
      <c r="S1" s="31" t="s">
        <v>61</v>
      </c>
      <c r="T1" s="29" t="s">
        <v>65</v>
      </c>
      <c r="U1" s="31" t="s">
        <v>68</v>
      </c>
      <c r="V1" s="29" t="s">
        <v>71</v>
      </c>
      <c r="W1" s="29" t="s">
        <v>75</v>
      </c>
      <c r="X1" s="29" t="s">
        <v>77</v>
      </c>
      <c r="Y1" s="31" t="s">
        <v>79</v>
      </c>
      <c r="Z1" s="29" t="s">
        <v>81</v>
      </c>
      <c r="AA1" s="29" t="s">
        <v>83</v>
      </c>
      <c r="AB1" s="29" t="s">
        <v>85</v>
      </c>
      <c r="AC1" s="29" t="s">
        <v>86</v>
      </c>
      <c r="AD1" s="29" t="s">
        <v>87</v>
      </c>
      <c r="AE1" s="29" t="s">
        <v>89</v>
      </c>
      <c r="AF1" s="36" t="s">
        <v>90</v>
      </c>
      <c r="AG1" s="38" t="s">
        <v>93</v>
      </c>
      <c r="AH1" s="36" t="s">
        <v>94</v>
      </c>
      <c r="AI1" s="38" t="s">
        <v>96</v>
      </c>
      <c r="AJ1" s="36" t="s">
        <v>98</v>
      </c>
      <c r="AK1" s="42" t="s">
        <v>99</v>
      </c>
      <c r="AL1" s="44" t="s">
        <v>100</v>
      </c>
      <c r="AM1" s="46"/>
      <c r="AN1" s="46" t="e">
        <v>#REF!</v>
      </c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</row>
    <row r="2">
      <c r="A2" s="3"/>
      <c r="B2" s="3"/>
      <c r="C2" s="3"/>
      <c r="D2" s="1" t="s">
        <v>113</v>
      </c>
      <c r="E2" s="3"/>
      <c r="F2" s="1" t="s">
        <v>114</v>
      </c>
      <c r="G2" s="1" t="s">
        <v>115</v>
      </c>
      <c r="H2" s="1" t="s">
        <v>27</v>
      </c>
      <c r="I2" s="3"/>
      <c r="J2" s="1">
        <v>25500.0</v>
      </c>
      <c r="K2" s="3"/>
      <c r="L2" s="3">
        <f>25000+205000+35000-J2</f>
        <v>239500</v>
      </c>
      <c r="M2" s="70"/>
      <c r="N2" s="70"/>
      <c r="O2" s="70"/>
      <c r="P2" s="3">
        <f t="shared" ref="P2:P404" si="1">R2+S2+T2+U2+W2+X2+Y2</f>
        <v>239500</v>
      </c>
      <c r="Q2" s="25">
        <f t="shared" ref="Q2:Q404" si="2">L2-P2</f>
        <v>0</v>
      </c>
      <c r="R2" s="1">
        <v>25000.0</v>
      </c>
      <c r="S2" s="1">
        <v>71500.0</v>
      </c>
      <c r="T2" s="1">
        <v>71500.0</v>
      </c>
      <c r="U2" s="1">
        <v>71500.0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</row>
    <row r="3">
      <c r="A3" s="3"/>
      <c r="B3" s="3"/>
      <c r="C3" s="3"/>
      <c r="D3" s="1" t="s">
        <v>126</v>
      </c>
      <c r="E3" s="3"/>
      <c r="F3" s="1" t="s">
        <v>128</v>
      </c>
      <c r="G3" s="1" t="s">
        <v>115</v>
      </c>
      <c r="H3" s="1" t="s">
        <v>27</v>
      </c>
      <c r="I3" s="1" t="s">
        <v>129</v>
      </c>
      <c r="J3" s="1">
        <v>25500.0</v>
      </c>
      <c r="K3" s="3"/>
      <c r="L3" s="3">
        <f>25000+205000+35000+55000-J3</f>
        <v>294500</v>
      </c>
      <c r="M3" s="70"/>
      <c r="N3" s="70"/>
      <c r="O3" s="70"/>
      <c r="P3" s="3">
        <f t="shared" si="1"/>
        <v>294500</v>
      </c>
      <c r="Q3" s="25">
        <f t="shared" si="2"/>
        <v>0</v>
      </c>
      <c r="R3" s="1">
        <v>25000.0</v>
      </c>
      <c r="S3" s="1">
        <v>71500.0</v>
      </c>
      <c r="T3" s="1">
        <v>71500.0</v>
      </c>
      <c r="U3" s="1">
        <v>71500.0</v>
      </c>
      <c r="V3" s="1" t="s">
        <v>132</v>
      </c>
      <c r="W3" s="1">
        <v>30000.0</v>
      </c>
      <c r="X3" s="1">
        <v>15000.0</v>
      </c>
      <c r="Y3" s="1">
        <v>10000.0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</row>
    <row r="4">
      <c r="A4" s="3"/>
      <c r="B4" s="3"/>
      <c r="C4" s="3"/>
      <c r="D4" s="1">
        <v>7.70264718E8</v>
      </c>
      <c r="E4" s="3"/>
      <c r="F4" s="1" t="s">
        <v>136</v>
      </c>
      <c r="G4" s="1" t="s">
        <v>115</v>
      </c>
      <c r="H4" s="1" t="s">
        <v>27</v>
      </c>
      <c r="I4" s="3"/>
      <c r="J4" s="1">
        <v>5000.0</v>
      </c>
      <c r="K4" s="3"/>
      <c r="L4" s="3">
        <f>25000+205000+35000-J4</f>
        <v>260000</v>
      </c>
      <c r="M4" s="70"/>
      <c r="N4" s="70"/>
      <c r="O4" s="70"/>
      <c r="P4" s="3">
        <f t="shared" si="1"/>
        <v>117000</v>
      </c>
      <c r="Q4" s="25">
        <f t="shared" si="2"/>
        <v>143000</v>
      </c>
      <c r="R4" s="1">
        <v>25000.0</v>
      </c>
      <c r="S4" s="3">
        <f>82000+10000</f>
        <v>92000</v>
      </c>
      <c r="T4" s="1"/>
      <c r="U4" s="1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</row>
    <row r="5">
      <c r="A5" s="3"/>
      <c r="B5" s="1"/>
      <c r="C5" s="3"/>
      <c r="D5" s="1">
        <v>7.95144767E8</v>
      </c>
      <c r="E5" s="3"/>
      <c r="F5" s="1" t="s">
        <v>143</v>
      </c>
      <c r="G5" s="1" t="s">
        <v>144</v>
      </c>
      <c r="H5" s="1" t="s">
        <v>49</v>
      </c>
      <c r="I5" s="1" t="s">
        <v>129</v>
      </c>
      <c r="J5" s="3">
        <f>5000+10000+10000</f>
        <v>25000</v>
      </c>
      <c r="K5" s="3"/>
      <c r="L5" s="3">
        <f>25000+305000+52000</f>
        <v>382000</v>
      </c>
      <c r="M5" s="70"/>
      <c r="N5" s="70"/>
      <c r="O5" s="70"/>
      <c r="P5" s="3">
        <f t="shared" si="1"/>
        <v>152000</v>
      </c>
      <c r="Q5" s="25">
        <f t="shared" si="2"/>
        <v>230000</v>
      </c>
      <c r="R5" s="1">
        <v>25000.0</v>
      </c>
      <c r="S5" s="3">
        <f>122000-25000</f>
        <v>97000</v>
      </c>
      <c r="T5" s="3"/>
      <c r="U5" s="1"/>
      <c r="V5" s="1" t="s">
        <v>29</v>
      </c>
      <c r="W5" s="1">
        <v>30000.0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</row>
    <row r="6">
      <c r="A6" s="3"/>
      <c r="B6" s="3"/>
      <c r="C6" s="3"/>
      <c r="D6" s="1">
        <v>7.95144767E8</v>
      </c>
      <c r="E6" s="3"/>
      <c r="F6" s="1" t="s">
        <v>149</v>
      </c>
      <c r="G6" s="1" t="s">
        <v>115</v>
      </c>
      <c r="H6" s="1" t="s">
        <v>27</v>
      </c>
      <c r="I6" s="1" t="s">
        <v>129</v>
      </c>
      <c r="J6" s="1">
        <v>10000.0</v>
      </c>
      <c r="K6" s="3"/>
      <c r="L6" s="3">
        <f>25000+205000+35000+52000</f>
        <v>317000</v>
      </c>
      <c r="M6" s="70"/>
      <c r="N6" s="70"/>
      <c r="O6" s="70"/>
      <c r="P6" s="3">
        <f t="shared" si="1"/>
        <v>142000</v>
      </c>
      <c r="Q6" s="25">
        <f t="shared" si="2"/>
        <v>175000</v>
      </c>
      <c r="R6" s="1">
        <v>25000.0</v>
      </c>
      <c r="S6" s="1">
        <v>87000.0</v>
      </c>
      <c r="T6" s="1"/>
      <c r="U6" s="1"/>
      <c r="V6" s="1" t="s">
        <v>29</v>
      </c>
      <c r="W6" s="1">
        <v>30000.0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</row>
    <row r="7">
      <c r="A7" s="3"/>
      <c r="B7" s="3"/>
      <c r="C7" s="3"/>
      <c r="D7" s="1">
        <v>7.94811578E8</v>
      </c>
      <c r="E7" s="3"/>
      <c r="F7" s="1" t="s">
        <v>150</v>
      </c>
      <c r="G7" s="1" t="s">
        <v>115</v>
      </c>
      <c r="H7" s="1" t="s">
        <v>46</v>
      </c>
      <c r="I7" s="1" t="s">
        <v>129</v>
      </c>
      <c r="J7" s="1">
        <f>20000+25000</f>
        <v>45000</v>
      </c>
      <c r="K7" s="3"/>
      <c r="L7" s="3">
        <f>30000+250000+20000+52000-J7+1000</f>
        <v>308000</v>
      </c>
      <c r="M7" s="105"/>
      <c r="N7" s="70"/>
      <c r="O7" s="105"/>
      <c r="P7" s="3">
        <f t="shared" si="1"/>
        <v>308000</v>
      </c>
      <c r="Q7" s="25">
        <f t="shared" si="2"/>
        <v>0</v>
      </c>
      <c r="R7" s="1">
        <v>30000.0</v>
      </c>
      <c r="S7" s="1">
        <v>28000.0</v>
      </c>
      <c r="T7" s="1">
        <v>100000.0</v>
      </c>
      <c r="U7" s="1">
        <v>98000.0</v>
      </c>
      <c r="V7" s="1" t="s">
        <v>29</v>
      </c>
      <c r="W7" s="1">
        <v>30000.0</v>
      </c>
      <c r="X7" s="1">
        <v>12000.0</v>
      </c>
      <c r="Y7" s="1">
        <v>10000.0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</row>
    <row r="8">
      <c r="A8" s="3"/>
      <c r="B8" s="3"/>
      <c r="C8" s="3"/>
      <c r="D8" s="1">
        <v>7.94811578E8</v>
      </c>
      <c r="E8" s="1"/>
      <c r="F8" s="1" t="s">
        <v>151</v>
      </c>
      <c r="G8" s="1" t="s">
        <v>144</v>
      </c>
      <c r="H8" s="1" t="s">
        <v>56</v>
      </c>
      <c r="I8" s="1" t="s">
        <v>129</v>
      </c>
      <c r="J8" s="3">
        <f t="shared" ref="J8:J9" si="3">13000+5000+33000</f>
        <v>51000</v>
      </c>
      <c r="K8" s="3"/>
      <c r="L8" s="3">
        <f t="shared" ref="L8:L9" si="4">25000+330000+52000-J8</f>
        <v>356000</v>
      </c>
      <c r="M8" s="70"/>
      <c r="N8" s="70"/>
      <c r="O8" s="70"/>
      <c r="P8" s="3">
        <f t="shared" si="1"/>
        <v>356000</v>
      </c>
      <c r="Q8" s="25">
        <f t="shared" si="2"/>
        <v>0</v>
      </c>
      <c r="R8" s="1">
        <v>25000.0</v>
      </c>
      <c r="S8" s="1">
        <v>100000.0</v>
      </c>
      <c r="T8" s="1">
        <v>100000.0</v>
      </c>
      <c r="U8" s="1">
        <v>79000.0</v>
      </c>
      <c r="V8" s="1" t="s">
        <v>29</v>
      </c>
      <c r="W8" s="1">
        <v>30000.0</v>
      </c>
      <c r="X8" s="1">
        <v>12000.0</v>
      </c>
      <c r="Y8" s="1">
        <v>10000.0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</row>
    <row r="9">
      <c r="A9" s="3"/>
      <c r="B9" s="3"/>
      <c r="C9" s="3"/>
      <c r="D9" s="1">
        <v>7.94811578E8</v>
      </c>
      <c r="E9" s="1"/>
      <c r="F9" s="1" t="s">
        <v>155</v>
      </c>
      <c r="G9" s="1" t="s">
        <v>144</v>
      </c>
      <c r="H9" s="1" t="s">
        <v>56</v>
      </c>
      <c r="I9" s="1" t="s">
        <v>129</v>
      </c>
      <c r="J9" s="3">
        <f t="shared" si="3"/>
        <v>51000</v>
      </c>
      <c r="K9" s="3"/>
      <c r="L9" s="3">
        <f t="shared" si="4"/>
        <v>356000</v>
      </c>
      <c r="M9" s="70"/>
      <c r="N9" s="70"/>
      <c r="O9" s="70"/>
      <c r="P9" s="3">
        <f t="shared" si="1"/>
        <v>356000</v>
      </c>
      <c r="Q9" s="25">
        <f t="shared" si="2"/>
        <v>0</v>
      </c>
      <c r="R9" s="1">
        <v>25000.0</v>
      </c>
      <c r="S9" s="1">
        <v>100000.0</v>
      </c>
      <c r="T9" s="1">
        <v>100000.0</v>
      </c>
      <c r="U9" s="1">
        <f>79000</f>
        <v>79000</v>
      </c>
      <c r="V9" s="1" t="s">
        <v>29</v>
      </c>
      <c r="W9" s="1">
        <v>30000.0</v>
      </c>
      <c r="X9" s="1">
        <v>12000.0</v>
      </c>
      <c r="Y9" s="1">
        <v>10000.0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</row>
    <row r="10">
      <c r="A10" s="3"/>
      <c r="B10" s="3"/>
      <c r="C10" s="3"/>
      <c r="D10" s="1" t="s">
        <v>157</v>
      </c>
      <c r="E10" s="3"/>
      <c r="F10" s="1" t="s">
        <v>158</v>
      </c>
      <c r="G10" s="1" t="s">
        <v>144</v>
      </c>
      <c r="H10" s="1" t="s">
        <v>56</v>
      </c>
      <c r="I10" s="3"/>
      <c r="J10" s="3">
        <f>46000+16500</f>
        <v>62500</v>
      </c>
      <c r="K10" s="3"/>
      <c r="L10" s="3">
        <f>25000+330000-J10</f>
        <v>292500</v>
      </c>
      <c r="M10" s="70"/>
      <c r="N10" s="70"/>
      <c r="O10" s="70"/>
      <c r="P10" s="106">
        <f t="shared" si="1"/>
        <v>292500</v>
      </c>
      <c r="Q10" s="25">
        <f t="shared" si="2"/>
        <v>0</v>
      </c>
      <c r="R10" s="1">
        <v>25000.0</v>
      </c>
      <c r="S10" s="1">
        <v>69500.0</v>
      </c>
      <c r="T10" s="1">
        <v>99000.0</v>
      </c>
      <c r="U10" s="1">
        <v>99000.0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</row>
    <row r="11">
      <c r="A11" s="3"/>
      <c r="B11" s="3"/>
      <c r="C11" s="3"/>
      <c r="D11" s="1">
        <v>7.96945858E8</v>
      </c>
      <c r="E11" s="3"/>
      <c r="F11" s="1" t="s">
        <v>160</v>
      </c>
      <c r="G11" s="1" t="s">
        <v>115</v>
      </c>
      <c r="H11" s="1" t="s">
        <v>35</v>
      </c>
      <c r="I11" s="3"/>
      <c r="J11" s="3">
        <f>13000+22000+5000</f>
        <v>40000</v>
      </c>
      <c r="K11" s="3"/>
      <c r="L11" s="3">
        <f>25000+35000+220000-J11</f>
        <v>240000</v>
      </c>
      <c r="M11" s="70"/>
      <c r="N11" s="70"/>
      <c r="O11" s="70"/>
      <c r="P11" s="3">
        <f t="shared" si="1"/>
        <v>240000</v>
      </c>
      <c r="Q11" s="25">
        <f t="shared" si="2"/>
        <v>0</v>
      </c>
      <c r="R11" s="1">
        <v>25000.0</v>
      </c>
      <c r="S11" s="1">
        <v>63000.0</v>
      </c>
      <c r="T11" s="1">
        <v>76000.0</v>
      </c>
      <c r="U11" s="1">
        <v>76000.0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</row>
    <row r="12">
      <c r="A12" s="3"/>
      <c r="B12" s="1"/>
      <c r="C12" s="3"/>
      <c r="D12" s="1">
        <v>7.96945858E8</v>
      </c>
      <c r="E12" s="3"/>
      <c r="F12" s="1" t="s">
        <v>161</v>
      </c>
      <c r="G12" s="1" t="s">
        <v>115</v>
      </c>
      <c r="H12" s="1" t="s">
        <v>39</v>
      </c>
      <c r="I12" s="3"/>
      <c r="J12" s="3">
        <f>18000+23000+5000</f>
        <v>46000</v>
      </c>
      <c r="K12" s="3"/>
      <c r="L12" s="3">
        <f>25000+230000-J12</f>
        <v>209000</v>
      </c>
      <c r="M12" s="70"/>
      <c r="N12" s="70"/>
      <c r="O12" s="70"/>
      <c r="P12" s="3">
        <f t="shared" si="1"/>
        <v>209000</v>
      </c>
      <c r="Q12" s="25">
        <f t="shared" si="2"/>
        <v>0</v>
      </c>
      <c r="R12" s="1">
        <v>25000.0</v>
      </c>
      <c r="S12" s="1">
        <v>46000.0</v>
      </c>
      <c r="T12" s="1">
        <v>69000.0</v>
      </c>
      <c r="U12" s="1">
        <v>69000.0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</row>
    <row r="13">
      <c r="A13" s="3"/>
      <c r="B13" s="3"/>
      <c r="C13" s="3"/>
      <c r="D13" s="1">
        <v>6.61308311E8</v>
      </c>
      <c r="E13" s="3"/>
      <c r="F13" s="1" t="s">
        <v>163</v>
      </c>
      <c r="G13" s="1" t="s">
        <v>115</v>
      </c>
      <c r="H13" s="1" t="s">
        <v>41</v>
      </c>
      <c r="I13" s="3"/>
      <c r="J13" s="1">
        <f>5000+18000</f>
        <v>23000</v>
      </c>
      <c r="K13" s="3"/>
      <c r="L13" s="3">
        <f>25000+230000+35000-J13</f>
        <v>267000</v>
      </c>
      <c r="M13" s="70"/>
      <c r="N13" s="70"/>
      <c r="O13" s="70"/>
      <c r="P13" s="3">
        <f t="shared" si="1"/>
        <v>109000</v>
      </c>
      <c r="Q13" s="25">
        <f t="shared" si="2"/>
        <v>158000</v>
      </c>
      <c r="R13" s="1">
        <v>25000.0</v>
      </c>
      <c r="S13" s="1">
        <v>84000.0</v>
      </c>
      <c r="T13" s="1"/>
      <c r="U13" s="1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</row>
    <row r="14">
      <c r="A14" s="3"/>
      <c r="B14" s="3"/>
      <c r="C14" s="3"/>
      <c r="D14" s="1">
        <v>6.61308311E8</v>
      </c>
      <c r="E14" s="1" t="s">
        <v>166</v>
      </c>
      <c r="F14" s="1" t="s">
        <v>167</v>
      </c>
      <c r="G14" s="1" t="s">
        <v>8</v>
      </c>
      <c r="H14" s="1" t="s">
        <v>8</v>
      </c>
      <c r="I14" s="3"/>
      <c r="J14" s="1">
        <v>5000.0</v>
      </c>
      <c r="K14" s="3"/>
      <c r="L14" s="3">
        <f>180000+165000-J14</f>
        <v>340000</v>
      </c>
      <c r="M14" s="70"/>
      <c r="N14" s="70"/>
      <c r="O14" s="70"/>
      <c r="P14" s="3">
        <f t="shared" si="1"/>
        <v>79000</v>
      </c>
      <c r="Q14" s="25">
        <f t="shared" si="2"/>
        <v>261000</v>
      </c>
      <c r="R14" s="1">
        <v>18000.0</v>
      </c>
      <c r="S14" s="3">
        <f>66000-5000</f>
        <v>61000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1"/>
      <c r="AH14" s="3"/>
      <c r="AI14" s="1"/>
      <c r="AJ14" s="3"/>
      <c r="AK14" s="1"/>
      <c r="AL14" s="3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</row>
    <row r="15">
      <c r="A15" s="3"/>
      <c r="B15" s="1"/>
      <c r="C15" s="3"/>
      <c r="D15" s="1">
        <v>5.61343761E8</v>
      </c>
      <c r="E15" s="3"/>
      <c r="F15" s="1" t="s">
        <v>168</v>
      </c>
      <c r="G15" s="1" t="s">
        <v>115</v>
      </c>
      <c r="H15" s="1" t="s">
        <v>46</v>
      </c>
      <c r="I15" s="1" t="s">
        <v>129</v>
      </c>
      <c r="J15" s="1">
        <v>40000.0</v>
      </c>
      <c r="K15" s="3"/>
      <c r="L15" s="3">
        <f>30000+250000+20000+43000-J15</f>
        <v>303000</v>
      </c>
      <c r="M15" s="70"/>
      <c r="N15" s="105"/>
      <c r="O15" s="70"/>
      <c r="P15" s="3">
        <f t="shared" si="1"/>
        <v>303000</v>
      </c>
      <c r="Q15" s="25">
        <f t="shared" si="2"/>
        <v>0</v>
      </c>
      <c r="R15" s="1">
        <v>30000.0</v>
      </c>
      <c r="S15" s="1">
        <v>70000.0</v>
      </c>
      <c r="T15" s="1">
        <v>80000.0</v>
      </c>
      <c r="U15" s="1">
        <v>80000.0</v>
      </c>
      <c r="V15" s="1" t="s">
        <v>19</v>
      </c>
      <c r="W15" s="1">
        <v>20000.0</v>
      </c>
      <c r="X15" s="1">
        <v>13000.0</v>
      </c>
      <c r="Y15" s="1">
        <v>10000.0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</row>
    <row r="16">
      <c r="A16" s="3"/>
      <c r="B16" s="3"/>
      <c r="C16" s="3"/>
      <c r="D16" s="1">
        <v>6.6165283E8</v>
      </c>
      <c r="E16" s="3"/>
      <c r="F16" s="1" t="s">
        <v>170</v>
      </c>
      <c r="G16" s="1" t="s">
        <v>171</v>
      </c>
      <c r="H16" s="1" t="s">
        <v>172</v>
      </c>
      <c r="I16" s="3"/>
      <c r="J16" s="3"/>
      <c r="K16" s="3"/>
      <c r="L16" s="3">
        <v>396000</v>
      </c>
      <c r="M16" s="70"/>
      <c r="N16" s="70"/>
      <c r="O16" s="70"/>
      <c r="P16" s="3">
        <f t="shared" si="1"/>
        <v>30000</v>
      </c>
      <c r="Q16" s="25">
        <f t="shared" si="2"/>
        <v>366000</v>
      </c>
      <c r="R16" s="1">
        <v>30000.0</v>
      </c>
      <c r="S16" s="3"/>
      <c r="T16" s="1"/>
      <c r="U16" s="1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</row>
    <row r="17">
      <c r="A17" s="3"/>
      <c r="B17" s="3"/>
      <c r="C17" s="3"/>
      <c r="D17" s="1">
        <v>7.96519468E8</v>
      </c>
      <c r="E17" s="3"/>
      <c r="F17" s="1" t="s">
        <v>175</v>
      </c>
      <c r="G17" s="1" t="s">
        <v>144</v>
      </c>
      <c r="H17" s="1" t="s">
        <v>56</v>
      </c>
      <c r="I17" s="3"/>
      <c r="J17" s="3">
        <v>34500</v>
      </c>
      <c r="K17" s="3"/>
      <c r="L17" s="3">
        <v>320500</v>
      </c>
      <c r="M17" s="70"/>
      <c r="N17" s="70"/>
      <c r="O17" s="70"/>
      <c r="P17" s="3">
        <f t="shared" si="1"/>
        <v>122500</v>
      </c>
      <c r="Q17" s="25">
        <f t="shared" si="2"/>
        <v>198000</v>
      </c>
      <c r="R17" s="1">
        <v>25000.0</v>
      </c>
      <c r="S17" s="1">
        <v>97500.0</v>
      </c>
      <c r="T17" s="1"/>
      <c r="U17" s="1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</row>
    <row r="18">
      <c r="A18" s="3"/>
      <c r="B18" s="3"/>
      <c r="C18" s="3"/>
      <c r="D18" s="1">
        <v>7.96519468E8</v>
      </c>
      <c r="E18" s="3"/>
      <c r="F18" s="1" t="s">
        <v>180</v>
      </c>
      <c r="G18" s="1" t="s">
        <v>144</v>
      </c>
      <c r="H18" s="1" t="s">
        <v>58</v>
      </c>
      <c r="I18" s="3"/>
      <c r="J18" s="1">
        <v>42000</v>
      </c>
      <c r="K18" s="3"/>
      <c r="L18" s="3">
        <v>328000</v>
      </c>
      <c r="M18" s="70"/>
      <c r="N18" s="70"/>
      <c r="O18" s="70"/>
      <c r="P18" s="3">
        <f t="shared" si="1"/>
        <v>127500</v>
      </c>
      <c r="Q18" s="25">
        <f t="shared" si="2"/>
        <v>200500</v>
      </c>
      <c r="R18" s="1">
        <v>30000.0</v>
      </c>
      <c r="S18" s="1">
        <v>97500.0</v>
      </c>
      <c r="T18" s="1"/>
      <c r="U18" s="1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</row>
    <row r="19">
      <c r="A19" s="3"/>
      <c r="B19" s="3"/>
      <c r="C19" s="3"/>
      <c r="D19" s="1">
        <v>7.92775082E8</v>
      </c>
      <c r="E19" s="1"/>
      <c r="F19" s="1" t="s">
        <v>181</v>
      </c>
      <c r="G19" s="1" t="s">
        <v>171</v>
      </c>
      <c r="H19" s="1" t="s">
        <v>172</v>
      </c>
      <c r="I19" s="3"/>
      <c r="J19" s="1">
        <f>10000+5000</f>
        <v>15000</v>
      </c>
      <c r="K19" s="3"/>
      <c r="L19" s="3">
        <f>30000+356000-J19</f>
        <v>371000</v>
      </c>
      <c r="M19" s="70"/>
      <c r="N19" s="70"/>
      <c r="O19" s="70"/>
      <c r="P19" s="3">
        <f t="shared" si="1"/>
        <v>161000</v>
      </c>
      <c r="Q19" s="25">
        <f t="shared" si="2"/>
        <v>210000</v>
      </c>
      <c r="R19" s="1">
        <v>30000.0</v>
      </c>
      <c r="S19" s="1">
        <f>146000-15000</f>
        <v>131000</v>
      </c>
      <c r="T19" s="3"/>
      <c r="U19" s="1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</row>
    <row r="20">
      <c r="A20" s="3"/>
      <c r="B20" s="1"/>
      <c r="C20" s="3"/>
      <c r="D20" s="1">
        <v>7.92775082E8</v>
      </c>
      <c r="E20" s="3"/>
      <c r="F20" s="1" t="s">
        <v>182</v>
      </c>
      <c r="G20" s="1" t="s">
        <v>115</v>
      </c>
      <c r="H20" s="1" t="s">
        <v>46</v>
      </c>
      <c r="I20" s="3"/>
      <c r="J20" s="1">
        <v>20000.0</v>
      </c>
      <c r="K20" s="3"/>
      <c r="L20" s="3">
        <f>30000+250000+20000-J20</f>
        <v>280000</v>
      </c>
      <c r="M20" s="70"/>
      <c r="N20" s="70"/>
      <c r="O20" s="70"/>
      <c r="P20" s="3">
        <f t="shared" si="1"/>
        <v>120000</v>
      </c>
      <c r="Q20" s="25">
        <f t="shared" si="2"/>
        <v>160000</v>
      </c>
      <c r="R20" s="1">
        <v>30000.0</v>
      </c>
      <c r="S20" s="1">
        <f>70000+20000</f>
        <v>90000</v>
      </c>
      <c r="T20" s="1"/>
      <c r="U20" s="1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</row>
    <row r="21">
      <c r="A21" s="3"/>
      <c r="B21" s="3"/>
      <c r="C21" s="3"/>
      <c r="D21" s="1">
        <v>6.72208803E8</v>
      </c>
      <c r="E21" s="1" t="s">
        <v>166</v>
      </c>
      <c r="F21" s="1" t="s">
        <v>184</v>
      </c>
      <c r="G21" s="1" t="s">
        <v>115</v>
      </c>
      <c r="H21" s="1" t="s">
        <v>17</v>
      </c>
      <c r="I21" s="3"/>
      <c r="J21" s="1"/>
      <c r="K21" s="3"/>
      <c r="L21" s="3">
        <f>25000+185000+35000-J21</f>
        <v>245000</v>
      </c>
      <c r="M21" s="70"/>
      <c r="N21" s="70"/>
      <c r="O21" s="70"/>
      <c r="P21" s="3">
        <f t="shared" si="1"/>
        <v>114000</v>
      </c>
      <c r="Q21" s="25">
        <f t="shared" si="2"/>
        <v>131000</v>
      </c>
      <c r="R21" s="1">
        <v>25000.0</v>
      </c>
      <c r="S21" s="1">
        <f>74000+15000</f>
        <v>89000</v>
      </c>
      <c r="T21" s="1"/>
      <c r="U21" s="1"/>
      <c r="V21" s="3"/>
      <c r="W21" s="1"/>
      <c r="X21" s="1"/>
      <c r="Y21" s="1"/>
      <c r="Z21" s="3"/>
      <c r="AA21" s="3"/>
      <c r="AB21" s="3"/>
      <c r="AC21" s="3"/>
      <c r="AD21" s="3"/>
      <c r="AE21" s="3"/>
      <c r="AF21" s="1"/>
      <c r="AG21" s="3"/>
      <c r="AH21" s="3"/>
      <c r="AI21" s="3"/>
      <c r="AJ21" s="3"/>
      <c r="AK21" s="3"/>
      <c r="AL21" s="3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</row>
    <row r="22">
      <c r="A22" s="105"/>
      <c r="B22" s="70"/>
      <c r="C22" s="70"/>
      <c r="D22" s="105">
        <v>7.7659082E8</v>
      </c>
      <c r="E22" s="70"/>
      <c r="F22" s="105" t="s">
        <v>188</v>
      </c>
      <c r="G22" s="105" t="s">
        <v>115</v>
      </c>
      <c r="H22" s="105" t="s">
        <v>46</v>
      </c>
      <c r="I22" s="105"/>
      <c r="J22" s="1">
        <f>25000+15000</f>
        <v>40000</v>
      </c>
      <c r="K22" s="3"/>
      <c r="L22" s="3">
        <f>30000+250000+20000-J22</f>
        <v>260000</v>
      </c>
      <c r="M22" s="70"/>
      <c r="N22" s="70"/>
      <c r="O22" s="70"/>
      <c r="P22" s="3">
        <f t="shared" si="1"/>
        <v>260000</v>
      </c>
      <c r="Q22" s="25">
        <f t="shared" si="2"/>
        <v>0</v>
      </c>
      <c r="R22" s="1">
        <v>30000.0</v>
      </c>
      <c r="S22" s="1">
        <v>70000.0</v>
      </c>
      <c r="T22" s="1">
        <v>80000.0</v>
      </c>
      <c r="U22" s="1">
        <v>80000.0</v>
      </c>
      <c r="V22" s="1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</row>
    <row r="23">
      <c r="A23" s="105"/>
      <c r="B23" s="70"/>
      <c r="C23" s="70"/>
      <c r="D23" s="105" t="s">
        <v>189</v>
      </c>
      <c r="E23" s="70"/>
      <c r="F23" s="105" t="s">
        <v>190</v>
      </c>
      <c r="G23" s="105" t="s">
        <v>144</v>
      </c>
      <c r="H23" s="105" t="s">
        <v>58</v>
      </c>
      <c r="I23" s="70"/>
      <c r="J23" s="1">
        <f>20000</f>
        <v>20000</v>
      </c>
      <c r="K23" s="3"/>
      <c r="L23" s="3">
        <f>30000+340000-J23</f>
        <v>350000</v>
      </c>
      <c r="M23" s="105"/>
      <c r="N23" s="105"/>
      <c r="O23" s="105"/>
      <c r="P23" s="3">
        <f t="shared" si="1"/>
        <v>146000</v>
      </c>
      <c r="Q23" s="25">
        <f t="shared" si="2"/>
        <v>204000</v>
      </c>
      <c r="R23" s="1">
        <v>30000.0</v>
      </c>
      <c r="S23" s="1">
        <v>116000.0</v>
      </c>
      <c r="T23" s="1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</row>
    <row r="24">
      <c r="A24" s="70"/>
      <c r="B24" s="105"/>
      <c r="C24" s="70"/>
      <c r="D24" s="108">
        <v>6.98868963E8</v>
      </c>
      <c r="E24" s="70"/>
      <c r="F24" s="105" t="s">
        <v>191</v>
      </c>
      <c r="G24" s="105" t="s">
        <v>144</v>
      </c>
      <c r="H24" s="105" t="s">
        <v>56</v>
      </c>
      <c r="I24" s="70"/>
      <c r="J24" s="3">
        <f>33000+13000</f>
        <v>46000</v>
      </c>
      <c r="K24" s="3"/>
      <c r="L24" s="3">
        <f>25000+330000-J24</f>
        <v>309000</v>
      </c>
      <c r="M24" s="70"/>
      <c r="N24" s="70"/>
      <c r="O24" s="70"/>
      <c r="P24" s="3">
        <f t="shared" si="1"/>
        <v>309000</v>
      </c>
      <c r="Q24" s="25">
        <f t="shared" si="2"/>
        <v>0</v>
      </c>
      <c r="R24" s="1">
        <v>25000.0</v>
      </c>
      <c r="S24" s="1">
        <v>86000.0</v>
      </c>
      <c r="T24" s="1">
        <v>99000.0</v>
      </c>
      <c r="U24" s="1">
        <v>99000.0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</row>
    <row r="25">
      <c r="A25" s="70"/>
      <c r="B25" s="70"/>
      <c r="C25" s="70"/>
      <c r="D25" s="105">
        <v>5.60245811E8</v>
      </c>
      <c r="E25" s="70"/>
      <c r="F25" s="105" t="s">
        <v>192</v>
      </c>
      <c r="G25" s="105" t="s">
        <v>115</v>
      </c>
      <c r="H25" s="105" t="s">
        <v>46</v>
      </c>
      <c r="I25" s="105" t="s">
        <v>129</v>
      </c>
      <c r="J25" s="3"/>
      <c r="K25" s="3"/>
      <c r="L25" s="3">
        <f>30000+250000+20000+55000-J25</f>
        <v>355000</v>
      </c>
      <c r="M25" s="70"/>
      <c r="N25" s="70"/>
      <c r="O25" s="70"/>
      <c r="P25" s="3">
        <f t="shared" si="1"/>
        <v>30000</v>
      </c>
      <c r="Q25" s="25">
        <f t="shared" si="2"/>
        <v>325000</v>
      </c>
      <c r="R25" s="1">
        <v>30000.0</v>
      </c>
      <c r="S25" s="1"/>
      <c r="T25" s="1"/>
      <c r="U25" s="1"/>
      <c r="V25" s="1" t="s">
        <v>194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</row>
    <row r="26">
      <c r="A26" s="70"/>
      <c r="B26" s="70"/>
      <c r="C26" s="70"/>
      <c r="D26" s="105" t="s">
        <v>196</v>
      </c>
      <c r="E26" s="112"/>
      <c r="F26" s="105" t="s">
        <v>197</v>
      </c>
      <c r="G26" s="105" t="s">
        <v>171</v>
      </c>
      <c r="H26" s="105" t="s">
        <v>198</v>
      </c>
      <c r="I26" s="70"/>
      <c r="J26" s="1">
        <v>13000.0</v>
      </c>
      <c r="K26" s="3"/>
      <c r="L26" s="3">
        <f>25000+355000-J26</f>
        <v>367000</v>
      </c>
      <c r="M26" s="70"/>
      <c r="N26" s="70"/>
      <c r="O26" s="70"/>
      <c r="P26" s="3">
        <f t="shared" si="1"/>
        <v>154000</v>
      </c>
      <c r="Q26" s="25">
        <f t="shared" si="2"/>
        <v>213000</v>
      </c>
      <c r="R26" s="1">
        <v>25000.0</v>
      </c>
      <c r="S26" s="1">
        <f>142000-13000</f>
        <v>129000</v>
      </c>
      <c r="T26" s="1"/>
      <c r="U26" s="1"/>
      <c r="V26" s="3"/>
      <c r="W26" s="3"/>
      <c r="X26" s="1"/>
      <c r="Y26" s="1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</row>
    <row r="27">
      <c r="A27" s="70"/>
      <c r="B27" s="70"/>
      <c r="C27" s="70"/>
      <c r="D27" s="113">
        <v>5.50265831E8</v>
      </c>
      <c r="E27" s="112"/>
      <c r="F27" s="105" t="s">
        <v>200</v>
      </c>
      <c r="G27" s="105" t="s">
        <v>144</v>
      </c>
      <c r="H27" s="105" t="s">
        <v>58</v>
      </c>
      <c r="I27" s="70"/>
      <c r="J27" s="1">
        <v>54000.0</v>
      </c>
      <c r="K27" s="3"/>
      <c r="L27" s="3">
        <f>30000+340000+55000-J27</f>
        <v>371000</v>
      </c>
      <c r="M27" s="70"/>
      <c r="N27" s="70"/>
      <c r="O27" s="70"/>
      <c r="P27" s="3">
        <f t="shared" si="1"/>
        <v>371000</v>
      </c>
      <c r="Q27" s="25">
        <f t="shared" si="2"/>
        <v>0</v>
      </c>
      <c r="R27" s="1">
        <v>30000.0</v>
      </c>
      <c r="S27" s="1">
        <v>82000.0</v>
      </c>
      <c r="T27" s="1">
        <v>102000.0</v>
      </c>
      <c r="U27" s="1">
        <v>102000.0</v>
      </c>
      <c r="V27" s="1" t="s">
        <v>201</v>
      </c>
      <c r="W27" s="1">
        <v>30000.0</v>
      </c>
      <c r="X27" s="1">
        <v>15000.0</v>
      </c>
      <c r="Y27" s="1">
        <v>10000.0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</row>
    <row r="28">
      <c r="A28" s="105"/>
      <c r="B28" s="70"/>
      <c r="C28" s="70"/>
      <c r="D28" s="105">
        <v>6.99718098E8</v>
      </c>
      <c r="E28" s="112"/>
      <c r="F28" s="105" t="s">
        <v>203</v>
      </c>
      <c r="G28" s="105" t="s">
        <v>115</v>
      </c>
      <c r="H28" s="105" t="s">
        <v>41</v>
      </c>
      <c r="I28" s="70"/>
      <c r="J28" s="1">
        <v>30000.0</v>
      </c>
      <c r="K28" s="3"/>
      <c r="L28" s="3">
        <f>25000+35000+230000-J28</f>
        <v>260000</v>
      </c>
      <c r="M28" s="70"/>
      <c r="N28" s="70"/>
      <c r="O28" s="70"/>
      <c r="P28" s="3">
        <f t="shared" si="1"/>
        <v>106000</v>
      </c>
      <c r="Q28" s="25">
        <f t="shared" si="2"/>
        <v>154000</v>
      </c>
      <c r="R28" s="1">
        <v>25000.0</v>
      </c>
      <c r="S28" s="1">
        <v>77000.0</v>
      </c>
      <c r="T28" s="1">
        <v>4000.0</v>
      </c>
      <c r="U28" s="1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</row>
    <row r="29">
      <c r="A29" s="70"/>
      <c r="B29" s="105"/>
      <c r="C29" s="70"/>
      <c r="D29" s="105">
        <v>6.99718098E8</v>
      </c>
      <c r="E29" s="112"/>
      <c r="F29" s="105" t="s">
        <v>204</v>
      </c>
      <c r="G29" s="105" t="s">
        <v>144</v>
      </c>
      <c r="H29" s="105" t="s">
        <v>52</v>
      </c>
      <c r="I29" s="70"/>
      <c r="J29" s="1">
        <v>39000.0</v>
      </c>
      <c r="K29" s="3"/>
      <c r="L29" s="3">
        <f>25000+320000-J29</f>
        <v>306000</v>
      </c>
      <c r="M29" s="70"/>
      <c r="N29" s="70"/>
      <c r="O29" s="70"/>
      <c r="P29" s="3">
        <f t="shared" si="1"/>
        <v>114000</v>
      </c>
      <c r="Q29" s="25">
        <f t="shared" si="2"/>
        <v>192000</v>
      </c>
      <c r="R29" s="1">
        <v>25000.0</v>
      </c>
      <c r="S29" s="1">
        <v>89000.0</v>
      </c>
      <c r="T29" s="1"/>
      <c r="U29" s="1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</row>
    <row r="30">
      <c r="A30" s="70"/>
      <c r="B30" s="70"/>
      <c r="C30" s="70"/>
      <c r="D30" s="105">
        <v>5.62873864E8</v>
      </c>
      <c r="E30" s="112"/>
      <c r="F30" s="105" t="s">
        <v>206</v>
      </c>
      <c r="G30" s="105" t="s">
        <v>115</v>
      </c>
      <c r="H30" s="105" t="s">
        <v>32</v>
      </c>
      <c r="I30" s="105" t="s">
        <v>129</v>
      </c>
      <c r="J30" s="1">
        <v>22000.0</v>
      </c>
      <c r="K30" s="3"/>
      <c r="L30" s="3">
        <f>25000+220000+52000-J30</f>
        <v>275000</v>
      </c>
      <c r="M30" s="70"/>
      <c r="N30" s="70"/>
      <c r="O30" s="70"/>
      <c r="P30" s="3">
        <f t="shared" si="1"/>
        <v>130000</v>
      </c>
      <c r="Q30" s="25">
        <f t="shared" si="2"/>
        <v>145000</v>
      </c>
      <c r="R30" s="1">
        <v>25000.0</v>
      </c>
      <c r="S30" s="1">
        <v>75000.0</v>
      </c>
      <c r="T30" s="1"/>
      <c r="U30" s="1"/>
      <c r="V30" s="1" t="s">
        <v>47</v>
      </c>
      <c r="W30" s="1">
        <v>30000.0</v>
      </c>
      <c r="X30" s="1"/>
      <c r="Y30" s="1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</row>
    <row r="31">
      <c r="A31" s="3"/>
      <c r="B31" s="3"/>
      <c r="C31" s="70"/>
      <c r="D31" s="113">
        <v>6.61742904E8</v>
      </c>
      <c r="E31" s="112"/>
      <c r="F31" s="105" t="s">
        <v>211</v>
      </c>
      <c r="G31" s="105" t="s">
        <v>171</v>
      </c>
      <c r="H31" s="105" t="s">
        <v>198</v>
      </c>
      <c r="I31" s="70"/>
      <c r="J31" s="1">
        <v>13000.0</v>
      </c>
      <c r="K31" s="3"/>
      <c r="L31" s="3">
        <f>25000+355000-J31</f>
        <v>367000</v>
      </c>
      <c r="M31" s="70"/>
      <c r="N31" s="70"/>
      <c r="O31" s="70"/>
      <c r="P31" s="3">
        <f t="shared" si="1"/>
        <v>154000</v>
      </c>
      <c r="Q31" s="25">
        <f t="shared" si="2"/>
        <v>213000</v>
      </c>
      <c r="R31" s="1">
        <v>25000.0</v>
      </c>
      <c r="S31" s="1">
        <v>129000.0</v>
      </c>
      <c r="T31" s="1"/>
      <c r="U31" s="1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</row>
    <row r="32">
      <c r="A32" s="3"/>
      <c r="B32" s="3"/>
      <c r="C32" s="70"/>
      <c r="D32" s="113" t="s">
        <v>212</v>
      </c>
      <c r="E32" s="70"/>
      <c r="F32" s="105" t="s">
        <v>213</v>
      </c>
      <c r="G32" s="105" t="s">
        <v>144</v>
      </c>
      <c r="H32" s="105" t="s">
        <v>56</v>
      </c>
      <c r="I32" s="70"/>
      <c r="J32" s="3">
        <f>33000+13000+5000</f>
        <v>51000</v>
      </c>
      <c r="K32" s="3"/>
      <c r="L32" s="3">
        <f>25000+330000-J32</f>
        <v>304000</v>
      </c>
      <c r="M32" s="70"/>
      <c r="N32" s="70"/>
      <c r="O32" s="70"/>
      <c r="P32" s="3">
        <f t="shared" si="1"/>
        <v>304000</v>
      </c>
      <c r="Q32" s="25">
        <f t="shared" si="2"/>
        <v>0</v>
      </c>
      <c r="R32" s="1">
        <v>25000.0</v>
      </c>
      <c r="S32" s="1">
        <v>81000.0</v>
      </c>
      <c r="T32" s="1">
        <v>99000.0</v>
      </c>
      <c r="U32" s="1">
        <v>99000.0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</row>
    <row r="33">
      <c r="A33" s="3"/>
      <c r="B33" s="3"/>
      <c r="C33" s="70"/>
      <c r="D33" s="105" t="s">
        <v>214</v>
      </c>
      <c r="E33" s="70"/>
      <c r="F33" s="105" t="s">
        <v>215</v>
      </c>
      <c r="G33" s="105" t="s">
        <v>216</v>
      </c>
      <c r="H33" s="105" t="s">
        <v>216</v>
      </c>
      <c r="I33" s="70"/>
      <c r="J33" s="1">
        <v>30000.0</v>
      </c>
      <c r="K33" s="3"/>
      <c r="L33" s="3">
        <f>23000+250000+40000-J33</f>
        <v>283000</v>
      </c>
      <c r="M33" s="70"/>
      <c r="N33" s="70"/>
      <c r="O33" s="70"/>
      <c r="P33" s="3">
        <f t="shared" si="1"/>
        <v>113000</v>
      </c>
      <c r="Q33" s="25">
        <f t="shared" si="2"/>
        <v>170000</v>
      </c>
      <c r="R33" s="1">
        <v>23000.0</v>
      </c>
      <c r="S33" s="1">
        <v>90000.0</v>
      </c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</row>
    <row r="34">
      <c r="A34" s="3"/>
      <c r="B34" s="3"/>
      <c r="C34" s="70"/>
      <c r="D34" s="105">
        <v>5.59744831E8</v>
      </c>
      <c r="E34" s="105" t="s">
        <v>166</v>
      </c>
      <c r="F34" s="105" t="s">
        <v>218</v>
      </c>
      <c r="G34" s="105" t="s">
        <v>8</v>
      </c>
      <c r="H34" s="105" t="s">
        <v>8</v>
      </c>
      <c r="I34" s="70"/>
      <c r="J34" s="1">
        <v>5000.0</v>
      </c>
      <c r="K34" s="3"/>
      <c r="L34" s="3">
        <f>18000+135000-J34</f>
        <v>148000</v>
      </c>
      <c r="M34" s="70"/>
      <c r="N34" s="70"/>
      <c r="O34" s="70"/>
      <c r="P34" s="3">
        <f t="shared" si="1"/>
        <v>18000</v>
      </c>
      <c r="Q34" s="25">
        <f t="shared" si="2"/>
        <v>130000</v>
      </c>
      <c r="R34" s="1">
        <v>18000.0</v>
      </c>
      <c r="S34" s="1"/>
      <c r="T34" s="1"/>
      <c r="U34" s="1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</row>
    <row r="35">
      <c r="A35" s="3"/>
      <c r="B35" s="1"/>
      <c r="C35" s="70"/>
      <c r="D35" s="114">
        <v>5.55647502E8</v>
      </c>
      <c r="E35" s="70"/>
      <c r="F35" s="105" t="s">
        <v>222</v>
      </c>
      <c r="G35" s="105" t="s">
        <v>115</v>
      </c>
      <c r="H35" s="105" t="s">
        <v>46</v>
      </c>
      <c r="I35" s="70"/>
      <c r="J35" s="1">
        <v>20000.0</v>
      </c>
      <c r="K35" s="3"/>
      <c r="L35" s="3">
        <f>30000+20000+250000-J35</f>
        <v>280000</v>
      </c>
      <c r="M35" s="70"/>
      <c r="N35" s="70"/>
      <c r="O35" s="70"/>
      <c r="P35" s="3">
        <f t="shared" si="1"/>
        <v>127000</v>
      </c>
      <c r="Q35" s="25">
        <f t="shared" si="2"/>
        <v>153000</v>
      </c>
      <c r="R35" s="1">
        <v>25000.0</v>
      </c>
      <c r="S35" s="1">
        <f>122000-20000</f>
        <v>102000</v>
      </c>
      <c r="T35" s="1"/>
      <c r="U35" s="1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</row>
    <row r="36">
      <c r="A36" s="3"/>
      <c r="B36" s="3"/>
      <c r="C36" s="70"/>
      <c r="D36" s="114">
        <v>5.55647502E8</v>
      </c>
      <c r="E36" s="70"/>
      <c r="F36" s="105" t="s">
        <v>223</v>
      </c>
      <c r="G36" s="105" t="s">
        <v>144</v>
      </c>
      <c r="H36" s="105" t="s">
        <v>49</v>
      </c>
      <c r="I36" s="70"/>
      <c r="J36" s="1">
        <v>25000.0</v>
      </c>
      <c r="K36" s="70"/>
      <c r="L36" s="115">
        <f>25000+305000-J36</f>
        <v>305000</v>
      </c>
      <c r="M36" s="70"/>
      <c r="N36" s="70"/>
      <c r="O36" s="70"/>
      <c r="P36" s="3">
        <f t="shared" si="1"/>
        <v>115000</v>
      </c>
      <c r="Q36" s="25">
        <f t="shared" si="2"/>
        <v>190000</v>
      </c>
      <c r="R36" s="1">
        <v>30000.0</v>
      </c>
      <c r="S36" s="3">
        <f>110000-25000</f>
        <v>85000</v>
      </c>
      <c r="T36" s="3"/>
      <c r="U36" s="3"/>
      <c r="V36" s="3"/>
      <c r="W36" s="3"/>
      <c r="X36" s="3"/>
      <c r="Y36" s="1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</row>
    <row r="37">
      <c r="A37" s="3"/>
      <c r="B37" s="3"/>
      <c r="C37" s="70"/>
      <c r="D37" s="105">
        <v>6.99015001E8</v>
      </c>
      <c r="E37" s="70"/>
      <c r="F37" s="105" t="s">
        <v>225</v>
      </c>
      <c r="G37" s="105" t="s">
        <v>171</v>
      </c>
      <c r="H37" s="105" t="s">
        <v>226</v>
      </c>
      <c r="I37" s="70"/>
      <c r="J37" s="1">
        <f>50000+14500</f>
        <v>64500</v>
      </c>
      <c r="K37" s="3"/>
      <c r="L37" s="3">
        <f>25000+350000-J37</f>
        <v>310500</v>
      </c>
      <c r="M37" s="70"/>
      <c r="N37" s="70"/>
      <c r="O37" s="70"/>
      <c r="P37" s="3">
        <f t="shared" si="1"/>
        <v>310500</v>
      </c>
      <c r="Q37" s="25">
        <f t="shared" si="2"/>
        <v>0</v>
      </c>
      <c r="R37" s="1">
        <v>25000.0</v>
      </c>
      <c r="S37" s="1">
        <v>75500.0</v>
      </c>
      <c r="T37" s="1">
        <v>105000.0</v>
      </c>
      <c r="U37" s="1">
        <v>105000.0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1"/>
      <c r="AG37" s="1"/>
      <c r="AH37" s="3"/>
      <c r="AI37" s="3"/>
      <c r="AJ37" s="3"/>
      <c r="AK37" s="3"/>
      <c r="AL37" s="3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</row>
    <row r="38">
      <c r="A38" s="3"/>
      <c r="B38" s="3"/>
      <c r="C38" s="70"/>
      <c r="D38" s="105">
        <v>6.99015001E8</v>
      </c>
      <c r="E38" s="70"/>
      <c r="F38" s="105" t="s">
        <v>228</v>
      </c>
      <c r="G38" s="105" t="s">
        <v>144</v>
      </c>
      <c r="H38" s="105" t="s">
        <v>58</v>
      </c>
      <c r="I38" s="70"/>
      <c r="J38" s="1">
        <v>50000.0</v>
      </c>
      <c r="K38" s="3"/>
      <c r="L38" s="3">
        <f>30000+340000-J38</f>
        <v>320000</v>
      </c>
      <c r="M38" s="70"/>
      <c r="N38" s="70"/>
      <c r="O38" s="70"/>
      <c r="P38" s="3">
        <f t="shared" si="1"/>
        <v>320000</v>
      </c>
      <c r="Q38" s="25">
        <f t="shared" si="2"/>
        <v>0</v>
      </c>
      <c r="R38" s="1">
        <v>25000.0</v>
      </c>
      <c r="S38" s="1">
        <v>91000.0</v>
      </c>
      <c r="T38" s="1">
        <v>102000.0</v>
      </c>
      <c r="U38" s="1">
        <v>102000.0</v>
      </c>
      <c r="V38" s="3"/>
      <c r="W38" s="1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</row>
    <row r="39">
      <c r="A39" s="3"/>
      <c r="B39" s="3"/>
      <c r="C39" s="70"/>
      <c r="D39" s="105">
        <v>6.99015001E8</v>
      </c>
      <c r="E39" s="70"/>
      <c r="F39" s="105" t="s">
        <v>231</v>
      </c>
      <c r="G39" s="105" t="s">
        <v>144</v>
      </c>
      <c r="H39" s="105" t="s">
        <v>49</v>
      </c>
      <c r="I39" s="70"/>
      <c r="J39" s="1">
        <v>50000.0</v>
      </c>
      <c r="K39" s="3"/>
      <c r="L39" s="3">
        <f>25000+305000-J39</f>
        <v>280000</v>
      </c>
      <c r="M39" s="70"/>
      <c r="N39" s="70"/>
      <c r="O39" s="70"/>
      <c r="P39" s="3">
        <f t="shared" si="1"/>
        <v>280000</v>
      </c>
      <c r="Q39" s="25">
        <f t="shared" si="2"/>
        <v>0</v>
      </c>
      <c r="R39" s="1">
        <v>25000.0</v>
      </c>
      <c r="S39" s="1">
        <v>72000.0</v>
      </c>
      <c r="T39" s="1">
        <v>91500.0</v>
      </c>
      <c r="U39" s="1">
        <v>91500.0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</row>
    <row r="40">
      <c r="A40" s="3"/>
      <c r="B40" s="3"/>
      <c r="C40" s="70"/>
      <c r="D40" s="105">
        <v>6.99015001E8</v>
      </c>
      <c r="E40" s="70"/>
      <c r="F40" s="105" t="s">
        <v>232</v>
      </c>
      <c r="G40" s="105" t="s">
        <v>8</v>
      </c>
      <c r="H40" s="105" t="s">
        <v>8</v>
      </c>
      <c r="I40" s="70"/>
      <c r="J40" s="1">
        <v>50000.0</v>
      </c>
      <c r="K40" s="70"/>
      <c r="L40" s="3">
        <f>18000+165000-J40</f>
        <v>133000</v>
      </c>
      <c r="M40" s="70"/>
      <c r="N40" s="70"/>
      <c r="O40" s="70"/>
      <c r="P40" s="3">
        <f t="shared" si="1"/>
        <v>133000</v>
      </c>
      <c r="Q40" s="25">
        <f t="shared" si="2"/>
        <v>0</v>
      </c>
      <c r="R40" s="1">
        <v>18000.0</v>
      </c>
      <c r="S40" s="1">
        <v>16000.0</v>
      </c>
      <c r="T40" s="1">
        <v>49500.0</v>
      </c>
      <c r="U40" s="1">
        <v>49500.0</v>
      </c>
      <c r="V40" s="3"/>
      <c r="W40" s="1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</row>
    <row r="41">
      <c r="A41" s="3"/>
      <c r="B41" s="3"/>
      <c r="C41" s="70"/>
      <c r="D41" s="105">
        <v>5.57672219E8</v>
      </c>
      <c r="E41" s="70"/>
      <c r="F41" s="105" t="s">
        <v>233</v>
      </c>
      <c r="G41" s="105" t="s">
        <v>115</v>
      </c>
      <c r="H41" s="105" t="s">
        <v>27</v>
      </c>
      <c r="I41" s="70"/>
      <c r="J41" s="1">
        <v>5000.0</v>
      </c>
      <c r="K41" s="3"/>
      <c r="L41" s="3">
        <f>25000+205000+35000-J41</f>
        <v>260000</v>
      </c>
      <c r="M41" s="70"/>
      <c r="N41" s="70"/>
      <c r="O41" s="70"/>
      <c r="P41" s="3">
        <f t="shared" si="1"/>
        <v>25000</v>
      </c>
      <c r="Q41" s="25">
        <f t="shared" si="2"/>
        <v>235000</v>
      </c>
      <c r="R41" s="1">
        <v>25000.0</v>
      </c>
      <c r="S41" s="1"/>
      <c r="T41" s="1"/>
      <c r="U41" s="1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</row>
    <row r="42">
      <c r="A42" s="3"/>
      <c r="B42" s="3"/>
      <c r="C42" s="70"/>
      <c r="D42" s="105">
        <v>5.57672219E8</v>
      </c>
      <c r="E42" s="70"/>
      <c r="F42" s="105" t="s">
        <v>234</v>
      </c>
      <c r="G42" s="105" t="s">
        <v>8</v>
      </c>
      <c r="H42" s="105" t="s">
        <v>8</v>
      </c>
      <c r="I42" s="70"/>
      <c r="J42" s="1">
        <v>5000.0</v>
      </c>
      <c r="K42" s="3"/>
      <c r="L42" s="3">
        <f>18000+165000-J42</f>
        <v>178000</v>
      </c>
      <c r="M42" s="70"/>
      <c r="N42" s="70"/>
      <c r="O42" s="70"/>
      <c r="P42" s="3">
        <f t="shared" si="1"/>
        <v>18000</v>
      </c>
      <c r="Q42" s="25">
        <f t="shared" si="2"/>
        <v>160000</v>
      </c>
      <c r="R42" s="1">
        <v>18000.0</v>
      </c>
      <c r="S42" s="1"/>
      <c r="T42" s="1"/>
      <c r="U42" s="1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</row>
    <row r="43">
      <c r="A43" s="3"/>
      <c r="B43" s="3"/>
      <c r="C43" s="70"/>
      <c r="D43" s="116">
        <v>7.71062618E8</v>
      </c>
      <c r="E43" s="70"/>
      <c r="F43" s="105" t="s">
        <v>235</v>
      </c>
      <c r="G43" s="105" t="s">
        <v>115</v>
      </c>
      <c r="H43" s="105" t="s">
        <v>17</v>
      </c>
      <c r="I43" s="105"/>
      <c r="J43" s="3">
        <f>18000+5000</f>
        <v>23000</v>
      </c>
      <c r="K43" s="3"/>
      <c r="L43" s="3">
        <f>25000+185000+35000-J43</f>
        <v>222000</v>
      </c>
      <c r="M43" s="70"/>
      <c r="N43" s="105"/>
      <c r="O43" s="70"/>
      <c r="P43" s="3">
        <f t="shared" si="1"/>
        <v>121000</v>
      </c>
      <c r="Q43" s="25">
        <f t="shared" si="2"/>
        <v>101000</v>
      </c>
      <c r="R43" s="1">
        <v>25000.0</v>
      </c>
      <c r="S43" s="1">
        <v>96000.0</v>
      </c>
      <c r="T43" s="1"/>
      <c r="U43" s="1"/>
      <c r="V43" s="1"/>
      <c r="W43" s="1"/>
      <c r="X43" s="1"/>
      <c r="Y43" s="1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</row>
    <row r="44">
      <c r="A44" s="3"/>
      <c r="B44" s="3"/>
      <c r="C44" s="3"/>
      <c r="D44" s="116">
        <v>7.71062618E8</v>
      </c>
      <c r="E44" s="3"/>
      <c r="F44" s="1" t="s">
        <v>236</v>
      </c>
      <c r="G44" s="1" t="s">
        <v>171</v>
      </c>
      <c r="H44" s="1" t="s">
        <v>172</v>
      </c>
      <c r="I44" s="3"/>
      <c r="J44" s="3">
        <f>15000</f>
        <v>15000</v>
      </c>
      <c r="K44" s="3"/>
      <c r="L44" s="3">
        <f>30000+365000-J44</f>
        <v>380000</v>
      </c>
      <c r="M44" s="70"/>
      <c r="N44" s="70"/>
      <c r="O44" s="70"/>
      <c r="P44" s="3">
        <f t="shared" si="1"/>
        <v>142000</v>
      </c>
      <c r="Q44" s="25">
        <f t="shared" si="2"/>
        <v>238000</v>
      </c>
      <c r="R44" s="1">
        <v>30000.0</v>
      </c>
      <c r="S44" s="1">
        <v>112000.0</v>
      </c>
      <c r="T44" s="1"/>
      <c r="U44" s="1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1"/>
      <c r="AG44" s="1"/>
      <c r="AH44" s="3"/>
      <c r="AI44" s="3"/>
      <c r="AJ44" s="3"/>
      <c r="AK44" s="3"/>
      <c r="AL44" s="3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</row>
    <row r="45">
      <c r="A45" s="3"/>
      <c r="B45" s="3"/>
      <c r="C45" s="3"/>
      <c r="D45" s="116">
        <v>7.71062618E8</v>
      </c>
      <c r="E45" s="70"/>
      <c r="F45" s="105" t="s">
        <v>237</v>
      </c>
      <c r="G45" s="105" t="s">
        <v>144</v>
      </c>
      <c r="H45" s="105" t="s">
        <v>58</v>
      </c>
      <c r="I45" s="105"/>
      <c r="J45" s="105">
        <v>25000.0</v>
      </c>
      <c r="K45" s="70"/>
      <c r="L45" s="3">
        <f>30000+340000-J45</f>
        <v>345000</v>
      </c>
      <c r="M45" s="70"/>
      <c r="N45" s="70"/>
      <c r="O45" s="70"/>
      <c r="P45" s="3">
        <f t="shared" si="1"/>
        <v>130000</v>
      </c>
      <c r="Q45" s="25">
        <f t="shared" si="2"/>
        <v>215000</v>
      </c>
      <c r="R45" s="1">
        <v>30000.0</v>
      </c>
      <c r="S45" s="1">
        <v>100000.0</v>
      </c>
      <c r="T45" s="1"/>
      <c r="U45" s="3"/>
      <c r="V45" s="1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</row>
    <row r="46">
      <c r="A46" s="1"/>
      <c r="B46" s="3"/>
      <c r="C46" s="3"/>
      <c r="D46" s="105">
        <v>6.67315937E8</v>
      </c>
      <c r="E46" s="70"/>
      <c r="F46" s="117" t="s">
        <v>238</v>
      </c>
      <c r="G46" s="105" t="s">
        <v>144</v>
      </c>
      <c r="H46" s="105" t="s">
        <v>49</v>
      </c>
      <c r="I46" s="70"/>
      <c r="J46" s="105">
        <v>40000.0</v>
      </c>
      <c r="K46" s="70"/>
      <c r="L46" s="3">
        <f>25000+305000-J46</f>
        <v>290000</v>
      </c>
      <c r="M46" s="70"/>
      <c r="N46" s="70"/>
      <c r="O46" s="70"/>
      <c r="P46" s="3">
        <f t="shared" si="1"/>
        <v>104000</v>
      </c>
      <c r="Q46" s="25">
        <f t="shared" si="2"/>
        <v>186000</v>
      </c>
      <c r="R46" s="1">
        <v>25000.0</v>
      </c>
      <c r="S46" s="1">
        <v>79000.0</v>
      </c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</row>
    <row r="47">
      <c r="A47" s="3"/>
      <c r="B47" s="3"/>
      <c r="C47" s="3"/>
      <c r="D47" s="105">
        <v>6.67315937E8</v>
      </c>
      <c r="E47" s="70"/>
      <c r="F47" s="105" t="s">
        <v>239</v>
      </c>
      <c r="G47" s="105" t="s">
        <v>115</v>
      </c>
      <c r="H47" s="105" t="s">
        <v>41</v>
      </c>
      <c r="I47" s="105"/>
      <c r="J47" s="105">
        <v>34500.0</v>
      </c>
      <c r="K47" s="70"/>
      <c r="L47" s="3">
        <f>25000+35000+230000-J47</f>
        <v>255500</v>
      </c>
      <c r="M47" s="70"/>
      <c r="N47" s="70"/>
      <c r="O47" s="70"/>
      <c r="P47" s="3">
        <f t="shared" si="1"/>
        <v>100500</v>
      </c>
      <c r="Q47" s="25">
        <f t="shared" si="2"/>
        <v>155000</v>
      </c>
      <c r="R47" s="1">
        <v>25000.0</v>
      </c>
      <c r="S47" s="1">
        <v>75500.0</v>
      </c>
      <c r="T47" s="1"/>
      <c r="U47" s="1"/>
      <c r="V47" s="3"/>
      <c r="W47" s="1"/>
      <c r="X47" s="1"/>
      <c r="Y47" s="1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</row>
    <row r="48">
      <c r="A48" s="3"/>
      <c r="B48" s="3"/>
      <c r="C48" s="3"/>
      <c r="D48" s="105"/>
      <c r="E48" s="70"/>
      <c r="F48" s="105" t="s">
        <v>240</v>
      </c>
      <c r="G48" s="105" t="s">
        <v>241</v>
      </c>
      <c r="H48" s="105" t="s">
        <v>241</v>
      </c>
      <c r="I48" s="70"/>
      <c r="J48" s="70">
        <f>3500+10000+22500</f>
        <v>36000</v>
      </c>
      <c r="K48" s="70"/>
      <c r="L48" s="3">
        <f>23000+225000-J48</f>
        <v>212000</v>
      </c>
      <c r="M48" s="70"/>
      <c r="N48" s="70"/>
      <c r="O48" s="70"/>
      <c r="P48" s="3">
        <f t="shared" si="1"/>
        <v>212000</v>
      </c>
      <c r="Q48" s="25">
        <f t="shared" si="2"/>
        <v>0</v>
      </c>
      <c r="R48" s="1">
        <v>25000.0</v>
      </c>
      <c r="S48" s="1">
        <v>52000.0</v>
      </c>
      <c r="T48" s="1">
        <v>67500.0</v>
      </c>
      <c r="U48" s="1">
        <v>67500.0</v>
      </c>
      <c r="V48" s="1"/>
      <c r="W48" s="1"/>
      <c r="X48" s="1"/>
      <c r="Y48" s="1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</row>
    <row r="49">
      <c r="A49" s="3"/>
      <c r="B49" s="3"/>
      <c r="C49" s="3"/>
      <c r="D49" s="105">
        <v>6.74675003E8</v>
      </c>
      <c r="E49" s="70"/>
      <c r="F49" s="105" t="s">
        <v>242</v>
      </c>
      <c r="G49" s="105" t="s">
        <v>115</v>
      </c>
      <c r="H49" s="105" t="s">
        <v>32</v>
      </c>
      <c r="I49" s="70"/>
      <c r="J49" s="105">
        <f>5000+22000+13000</f>
        <v>40000</v>
      </c>
      <c r="K49" s="70"/>
      <c r="L49" s="3">
        <f>25000+220000-J49</f>
        <v>205000</v>
      </c>
      <c r="M49" s="70"/>
      <c r="N49" s="70"/>
      <c r="O49" s="70"/>
      <c r="P49" s="3">
        <f t="shared" si="1"/>
        <v>205000</v>
      </c>
      <c r="Q49" s="25">
        <f t="shared" si="2"/>
        <v>0</v>
      </c>
      <c r="R49" s="1">
        <v>25000.0</v>
      </c>
      <c r="S49" s="1">
        <v>48000.0</v>
      </c>
      <c r="T49" s="1">
        <v>66000.0</v>
      </c>
      <c r="U49" s="1">
        <v>66000.0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</row>
    <row r="50">
      <c r="A50" s="3"/>
      <c r="B50" s="3"/>
      <c r="C50" s="3"/>
      <c r="D50" s="105">
        <v>6.74675003E8</v>
      </c>
      <c r="E50" s="105" t="s">
        <v>166</v>
      </c>
      <c r="F50" s="105" t="s">
        <v>243</v>
      </c>
      <c r="G50" s="105" t="s">
        <v>115</v>
      </c>
      <c r="H50" s="105" t="s">
        <v>13</v>
      </c>
      <c r="I50" s="70"/>
      <c r="J50" s="105">
        <v>5000.0</v>
      </c>
      <c r="K50" s="70"/>
      <c r="L50" s="3">
        <f>25000+185000-J50</f>
        <v>205000</v>
      </c>
      <c r="M50" s="70"/>
      <c r="N50" s="70"/>
      <c r="O50" s="70"/>
      <c r="P50" s="3">
        <f t="shared" si="1"/>
        <v>25000</v>
      </c>
      <c r="Q50" s="25">
        <f t="shared" si="2"/>
        <v>180000</v>
      </c>
      <c r="R50" s="1">
        <v>25000.0</v>
      </c>
      <c r="S50" s="1"/>
      <c r="T50" s="1"/>
      <c r="U50" s="1"/>
      <c r="V50" s="3"/>
      <c r="W50" s="1"/>
      <c r="X50" s="1"/>
      <c r="Y50" s="1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</row>
    <row r="51">
      <c r="A51" s="3"/>
      <c r="B51" s="3"/>
      <c r="C51" s="3"/>
      <c r="D51" s="105">
        <v>7.99549249E8</v>
      </c>
      <c r="E51" s="105" t="s">
        <v>166</v>
      </c>
      <c r="F51" s="105" t="s">
        <v>244</v>
      </c>
      <c r="G51" s="105" t="s">
        <v>115</v>
      </c>
      <c r="H51" s="105" t="s">
        <v>17</v>
      </c>
      <c r="I51" s="70"/>
      <c r="J51" s="105">
        <v>18000.0</v>
      </c>
      <c r="K51" s="70"/>
      <c r="L51" s="3">
        <f>25000+185000+35000-J51</f>
        <v>227000</v>
      </c>
      <c r="M51" s="70"/>
      <c r="N51" s="70"/>
      <c r="O51" s="70"/>
      <c r="P51" s="3">
        <f t="shared" si="1"/>
        <v>96000</v>
      </c>
      <c r="Q51" s="25">
        <f t="shared" si="2"/>
        <v>131000</v>
      </c>
      <c r="R51" s="1">
        <v>25000.0</v>
      </c>
      <c r="S51" s="1">
        <v>71000.0</v>
      </c>
      <c r="T51" s="1"/>
      <c r="U51" s="1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</row>
    <row r="52">
      <c r="A52" s="1"/>
      <c r="B52" s="3"/>
      <c r="C52" s="3"/>
      <c r="D52" s="105">
        <v>6.71418214E8</v>
      </c>
      <c r="E52" s="70"/>
      <c r="F52" s="105" t="s">
        <v>245</v>
      </c>
      <c r="G52" s="105" t="s">
        <v>115</v>
      </c>
      <c r="H52" s="105" t="s">
        <v>35</v>
      </c>
      <c r="I52" s="105"/>
      <c r="J52" s="70">
        <f>13000+5000</f>
        <v>18000</v>
      </c>
      <c r="K52" s="70"/>
      <c r="L52" s="3">
        <f>25000+220000+35000-J52</f>
        <v>262000</v>
      </c>
      <c r="M52" s="70"/>
      <c r="N52" s="70"/>
      <c r="O52" s="70"/>
      <c r="P52" s="3">
        <f t="shared" si="1"/>
        <v>110000</v>
      </c>
      <c r="Q52" s="25">
        <f t="shared" si="2"/>
        <v>152000</v>
      </c>
      <c r="R52" s="1">
        <v>25000.0</v>
      </c>
      <c r="S52" s="1">
        <v>85000.0</v>
      </c>
      <c r="T52" s="1"/>
      <c r="U52" s="1"/>
      <c r="V52" s="3"/>
      <c r="W52" s="3"/>
      <c r="X52" s="1"/>
      <c r="Y52" s="1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1"/>
      <c r="AL52" s="3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81"/>
    </row>
    <row r="53">
      <c r="A53" s="3"/>
      <c r="B53" s="3"/>
      <c r="C53" s="3"/>
      <c r="D53" s="105">
        <v>6.71418214E8</v>
      </c>
      <c r="E53" s="70"/>
      <c r="F53" s="105" t="s">
        <v>246</v>
      </c>
      <c r="G53" s="105" t="s">
        <v>144</v>
      </c>
      <c r="H53" s="105" t="s">
        <v>49</v>
      </c>
      <c r="I53" s="70"/>
      <c r="J53" s="105">
        <f>10000+10000+5000</f>
        <v>25000</v>
      </c>
      <c r="K53" s="70"/>
      <c r="L53" s="3">
        <f>25000+305000-J53</f>
        <v>305000</v>
      </c>
      <c r="M53" s="70"/>
      <c r="N53" s="70"/>
      <c r="O53" s="70"/>
      <c r="P53" s="3">
        <f t="shared" si="1"/>
        <v>110000</v>
      </c>
      <c r="Q53" s="25">
        <f t="shared" si="2"/>
        <v>195000</v>
      </c>
      <c r="R53" s="1">
        <v>25000.0</v>
      </c>
      <c r="S53" s="1">
        <v>85000.0</v>
      </c>
      <c r="T53" s="1"/>
      <c r="U53" s="1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81"/>
    </row>
    <row r="54">
      <c r="A54" s="1"/>
      <c r="B54" s="3"/>
      <c r="C54" s="3"/>
      <c r="D54" s="105">
        <v>5.51058054E8</v>
      </c>
      <c r="E54" s="70"/>
      <c r="F54" s="105" t="s">
        <v>247</v>
      </c>
      <c r="G54" s="105" t="s">
        <v>115</v>
      </c>
      <c r="H54" s="105" t="s">
        <v>35</v>
      </c>
      <c r="I54" s="70"/>
      <c r="J54" s="105">
        <v>13000.0</v>
      </c>
      <c r="K54" s="70"/>
      <c r="L54" s="3">
        <f>25000+220000+35000-J54</f>
        <v>267000</v>
      </c>
      <c r="M54" s="70"/>
      <c r="N54" s="70"/>
      <c r="O54" s="70"/>
      <c r="P54" s="3">
        <f t="shared" si="1"/>
        <v>115000</v>
      </c>
      <c r="Q54" s="25">
        <f t="shared" si="2"/>
        <v>152000</v>
      </c>
      <c r="R54" s="1">
        <v>25000.0</v>
      </c>
      <c r="S54" s="1">
        <v>90000.0</v>
      </c>
      <c r="T54" s="1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</row>
    <row r="55">
      <c r="A55" s="3"/>
      <c r="B55" s="3"/>
      <c r="C55" s="3"/>
      <c r="D55" s="105" t="s">
        <v>248</v>
      </c>
      <c r="E55" s="70"/>
      <c r="F55" s="105" t="s">
        <v>249</v>
      </c>
      <c r="G55" s="105" t="s">
        <v>115</v>
      </c>
      <c r="H55" s="105" t="s">
        <v>46</v>
      </c>
      <c r="I55" s="70"/>
      <c r="J55" s="105">
        <f>15000</f>
        <v>15000</v>
      </c>
      <c r="K55" s="70"/>
      <c r="L55" s="3">
        <f>30000+250000+20000-J55</f>
        <v>285000</v>
      </c>
      <c r="M55" s="70"/>
      <c r="N55" s="105"/>
      <c r="O55" s="105"/>
      <c r="P55" s="3">
        <f t="shared" si="1"/>
        <v>125000</v>
      </c>
      <c r="Q55" s="25">
        <f t="shared" si="2"/>
        <v>160000</v>
      </c>
      <c r="R55" s="1">
        <v>30000.0</v>
      </c>
      <c r="S55" s="1">
        <v>95000.0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</row>
    <row r="56">
      <c r="A56" s="3"/>
      <c r="B56" s="3"/>
      <c r="C56" s="3"/>
      <c r="D56" s="105">
        <v>5.53936243E8</v>
      </c>
      <c r="E56" s="70"/>
      <c r="F56" s="105" t="s">
        <v>250</v>
      </c>
      <c r="G56" s="105" t="s">
        <v>115</v>
      </c>
      <c r="H56" s="105" t="s">
        <v>46</v>
      </c>
      <c r="I56" s="70"/>
      <c r="J56" s="105">
        <v>32500.0</v>
      </c>
      <c r="K56" s="70"/>
      <c r="L56" s="3">
        <f>30000+250000-J56</f>
        <v>247500</v>
      </c>
      <c r="M56" s="70"/>
      <c r="N56" s="70"/>
      <c r="O56" s="70"/>
      <c r="P56" s="3">
        <f t="shared" si="1"/>
        <v>97500</v>
      </c>
      <c r="Q56" s="25">
        <f t="shared" si="2"/>
        <v>150000</v>
      </c>
      <c r="R56" s="1">
        <v>30000.0</v>
      </c>
      <c r="S56" s="1">
        <f>100000-J56</f>
        <v>67500</v>
      </c>
      <c r="T56" s="1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</row>
    <row r="57">
      <c r="A57" s="3"/>
      <c r="B57" s="3"/>
      <c r="C57" s="3"/>
      <c r="D57" s="105">
        <v>5.53936243E8</v>
      </c>
      <c r="E57" s="70"/>
      <c r="F57" s="105" t="s">
        <v>251</v>
      </c>
      <c r="G57" s="105" t="s">
        <v>144</v>
      </c>
      <c r="H57" s="105" t="s">
        <v>56</v>
      </c>
      <c r="I57" s="70"/>
      <c r="J57" s="105">
        <v>34500.0</v>
      </c>
      <c r="K57" s="70"/>
      <c r="L57" s="3">
        <f>25000+330000-J57</f>
        <v>320500</v>
      </c>
      <c r="M57" s="70"/>
      <c r="N57" s="70"/>
      <c r="O57" s="70"/>
      <c r="P57" s="3">
        <f t="shared" si="1"/>
        <v>122500</v>
      </c>
      <c r="Q57" s="25">
        <f t="shared" si="2"/>
        <v>198000</v>
      </c>
      <c r="R57" s="1">
        <v>25000.0</v>
      </c>
      <c r="S57" s="1">
        <f>132000-J57</f>
        <v>97500</v>
      </c>
      <c r="T57" s="1"/>
      <c r="U57" s="1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</row>
    <row r="58">
      <c r="A58" s="1"/>
      <c r="B58" s="3"/>
      <c r="C58" s="3"/>
      <c r="D58" s="105">
        <v>5.58507959E8</v>
      </c>
      <c r="E58" s="105"/>
      <c r="F58" s="105" t="s">
        <v>252</v>
      </c>
      <c r="G58" s="105" t="s">
        <v>144</v>
      </c>
      <c r="H58" s="105" t="s">
        <v>49</v>
      </c>
      <c r="I58" s="70"/>
      <c r="J58" s="70">
        <f>10000+10000+30500+15000</f>
        <v>65500</v>
      </c>
      <c r="K58" s="70"/>
      <c r="L58" s="3">
        <f>25000+305000-J58</f>
        <v>264500</v>
      </c>
      <c r="M58" s="105"/>
      <c r="N58" s="70"/>
      <c r="O58" s="70"/>
      <c r="P58" s="3">
        <f t="shared" si="1"/>
        <v>264500</v>
      </c>
      <c r="Q58" s="25">
        <f t="shared" si="2"/>
        <v>0</v>
      </c>
      <c r="R58" s="1">
        <v>25000.0</v>
      </c>
      <c r="S58" s="1">
        <f>122000-J58</f>
        <v>56500</v>
      </c>
      <c r="T58" s="1">
        <v>91500.0</v>
      </c>
      <c r="U58" s="1">
        <f>27000+64500</f>
        <v>91500</v>
      </c>
      <c r="V58" s="1"/>
      <c r="W58" s="1"/>
      <c r="X58" s="1"/>
      <c r="Y58" s="1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</row>
    <row r="59">
      <c r="A59" s="1"/>
      <c r="B59" s="3"/>
      <c r="C59" s="3"/>
      <c r="D59" s="113">
        <v>5.52707748E8</v>
      </c>
      <c r="E59" s="70"/>
      <c r="F59" s="105" t="s">
        <v>253</v>
      </c>
      <c r="G59" s="105" t="s">
        <v>171</v>
      </c>
      <c r="H59" s="105" t="s">
        <v>172</v>
      </c>
      <c r="I59" s="70"/>
      <c r="J59" s="70">
        <f t="shared" ref="J59:J60" si="5">36500+10000</f>
        <v>46500</v>
      </c>
      <c r="K59" s="70"/>
      <c r="L59" s="3">
        <f t="shared" ref="L59:L60" si="6">30000+365000-J59</f>
        <v>348500</v>
      </c>
      <c r="M59" s="70"/>
      <c r="N59" s="70"/>
      <c r="O59" s="70"/>
      <c r="P59" s="3">
        <f t="shared" si="1"/>
        <v>348500</v>
      </c>
      <c r="Q59" s="25">
        <f t="shared" si="2"/>
        <v>0</v>
      </c>
      <c r="R59" s="1">
        <v>30000.0</v>
      </c>
      <c r="S59" s="1">
        <v>99500.0</v>
      </c>
      <c r="T59" s="1">
        <v>109500.0</v>
      </c>
      <c r="U59" s="1">
        <v>109500.0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107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</row>
    <row r="60">
      <c r="A60" s="3"/>
      <c r="B60" s="1"/>
      <c r="C60" s="3"/>
      <c r="D60" s="114">
        <v>5.5738105E8</v>
      </c>
      <c r="E60" s="70"/>
      <c r="F60" s="105" t="s">
        <v>254</v>
      </c>
      <c r="G60" s="105" t="s">
        <v>171</v>
      </c>
      <c r="H60" s="105" t="s">
        <v>172</v>
      </c>
      <c r="I60" s="70"/>
      <c r="J60" s="70">
        <f t="shared" si="5"/>
        <v>46500</v>
      </c>
      <c r="K60" s="70"/>
      <c r="L60" s="3">
        <f t="shared" si="6"/>
        <v>348500</v>
      </c>
      <c r="M60" s="70"/>
      <c r="N60" s="70"/>
      <c r="O60" s="70"/>
      <c r="P60" s="3">
        <f t="shared" si="1"/>
        <v>348500</v>
      </c>
      <c r="Q60" s="25">
        <f t="shared" si="2"/>
        <v>0</v>
      </c>
      <c r="R60" s="1">
        <v>30000.0</v>
      </c>
      <c r="S60" s="1">
        <v>99500.0</v>
      </c>
      <c r="T60" s="1">
        <v>109500.0</v>
      </c>
      <c r="U60" s="1">
        <v>109500.0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1"/>
      <c r="AG60" s="1"/>
      <c r="AH60" s="3"/>
      <c r="AI60" s="3"/>
      <c r="AJ60" s="3"/>
      <c r="AK60" s="3"/>
      <c r="AL60" s="3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</row>
    <row r="61">
      <c r="A61" s="3"/>
      <c r="B61" s="1"/>
      <c r="C61" s="3"/>
      <c r="D61" s="108">
        <v>7.83094441E8</v>
      </c>
      <c r="E61" s="105"/>
      <c r="F61" s="105" t="s">
        <v>255</v>
      </c>
      <c r="G61" s="105" t="s">
        <v>115</v>
      </c>
      <c r="H61" s="105" t="s">
        <v>32</v>
      </c>
      <c r="I61" s="105" t="s">
        <v>129</v>
      </c>
      <c r="J61" s="105"/>
      <c r="K61" s="70"/>
      <c r="L61" s="3">
        <f>25000+220000+40000-J61</f>
        <v>285000</v>
      </c>
      <c r="M61" s="70"/>
      <c r="N61" s="105"/>
      <c r="O61" s="70"/>
      <c r="P61" s="3">
        <f t="shared" si="1"/>
        <v>25000</v>
      </c>
      <c r="Q61" s="25">
        <f t="shared" si="2"/>
        <v>260000</v>
      </c>
      <c r="R61" s="1">
        <v>25000.0</v>
      </c>
      <c r="S61" s="1"/>
      <c r="T61" s="1"/>
      <c r="U61" s="3"/>
      <c r="V61" s="1" t="s">
        <v>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</row>
    <row r="62">
      <c r="A62" s="3"/>
      <c r="B62" s="3"/>
      <c r="C62" s="3"/>
      <c r="D62" s="105">
        <v>5.59444354E8</v>
      </c>
      <c r="E62" s="70"/>
      <c r="F62" s="105" t="s">
        <v>256</v>
      </c>
      <c r="G62" s="105" t="s">
        <v>115</v>
      </c>
      <c r="H62" s="105" t="s">
        <v>46</v>
      </c>
      <c r="I62" s="105"/>
      <c r="J62" s="105">
        <f>20000</f>
        <v>20000</v>
      </c>
      <c r="K62" s="70"/>
      <c r="L62" s="3">
        <f>30000+250000+20000-J62</f>
        <v>280000</v>
      </c>
      <c r="M62" s="70"/>
      <c r="N62" s="70"/>
      <c r="O62" s="70"/>
      <c r="P62" s="3">
        <f t="shared" si="1"/>
        <v>120000</v>
      </c>
      <c r="Q62" s="25">
        <f t="shared" si="2"/>
        <v>160000</v>
      </c>
      <c r="R62" s="1">
        <v>30000.0</v>
      </c>
      <c r="S62" s="1">
        <v>90000.0</v>
      </c>
      <c r="T62" s="1"/>
      <c r="U62" s="1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</row>
    <row r="63">
      <c r="A63" s="3"/>
      <c r="B63" s="3"/>
      <c r="C63" s="3"/>
      <c r="D63" s="105">
        <v>5.59444354E8</v>
      </c>
      <c r="E63" s="70"/>
      <c r="F63" s="105" t="s">
        <v>257</v>
      </c>
      <c r="G63" s="105" t="s">
        <v>144</v>
      </c>
      <c r="H63" s="105" t="s">
        <v>52</v>
      </c>
      <c r="I63" s="70"/>
      <c r="J63" s="70">
        <f>15000</f>
        <v>15000</v>
      </c>
      <c r="K63" s="70"/>
      <c r="L63" s="3">
        <f>25000+320000-J63</f>
        <v>330000</v>
      </c>
      <c r="M63" s="70"/>
      <c r="N63" s="70"/>
      <c r="O63" s="70"/>
      <c r="P63" s="3">
        <f t="shared" si="1"/>
        <v>138000</v>
      </c>
      <c r="Q63" s="25">
        <f t="shared" si="2"/>
        <v>192000</v>
      </c>
      <c r="R63" s="1">
        <v>25000.0</v>
      </c>
      <c r="S63" s="3">
        <f>128000-15000</f>
        <v>113000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</row>
    <row r="64">
      <c r="A64" s="3"/>
      <c r="B64" s="3"/>
      <c r="C64" s="1"/>
      <c r="D64" s="105">
        <v>7.72172088E8</v>
      </c>
      <c r="E64" s="70"/>
      <c r="F64" s="105" t="s">
        <v>258</v>
      </c>
      <c r="G64" s="105" t="s">
        <v>115</v>
      </c>
      <c r="H64" s="105" t="s">
        <v>17</v>
      </c>
      <c r="I64" s="105" t="s">
        <v>129</v>
      </c>
      <c r="J64" s="70">
        <f>18000</f>
        <v>18000</v>
      </c>
      <c r="K64" s="70"/>
      <c r="L64" s="3">
        <f>25000+185000+35000+55000-J64</f>
        <v>282000</v>
      </c>
      <c r="M64" s="70"/>
      <c r="N64" s="70"/>
      <c r="O64" s="70"/>
      <c r="P64" s="3">
        <f t="shared" si="1"/>
        <v>126000</v>
      </c>
      <c r="Q64" s="25">
        <f t="shared" si="2"/>
        <v>156000</v>
      </c>
      <c r="R64" s="1">
        <v>25000.0</v>
      </c>
      <c r="S64" s="1">
        <v>71000.0</v>
      </c>
      <c r="T64" s="3"/>
      <c r="U64" s="3"/>
      <c r="V64" s="1" t="s">
        <v>259</v>
      </c>
      <c r="W64" s="1">
        <v>30000.0</v>
      </c>
      <c r="X64" s="3"/>
      <c r="Y64" s="3"/>
      <c r="Z64" s="3"/>
      <c r="AA64" s="3"/>
      <c r="AB64" s="3"/>
      <c r="AC64" s="3"/>
      <c r="AD64" s="3"/>
      <c r="AE64" s="3"/>
      <c r="AF64" s="1"/>
      <c r="AG64" s="3"/>
      <c r="AH64" s="3"/>
      <c r="AI64" s="3"/>
      <c r="AJ64" s="3"/>
      <c r="AK64" s="3"/>
      <c r="AL64" s="3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</row>
    <row r="65">
      <c r="A65" s="3"/>
      <c r="B65" s="3"/>
      <c r="C65" s="3"/>
      <c r="D65" s="108">
        <v>5.40686162E8</v>
      </c>
      <c r="E65" s="70"/>
      <c r="F65" s="105" t="s">
        <v>260</v>
      </c>
      <c r="G65" s="105" t="s">
        <v>115</v>
      </c>
      <c r="H65" s="105" t="s">
        <v>35</v>
      </c>
      <c r="I65" s="70"/>
      <c r="J65" s="70">
        <f>18000+5000+18500</f>
        <v>41500</v>
      </c>
      <c r="K65" s="70"/>
      <c r="L65" s="3">
        <f>25000+35000+220000-J65</f>
        <v>238500</v>
      </c>
      <c r="M65" s="70"/>
      <c r="N65" s="70"/>
      <c r="O65" s="70"/>
      <c r="P65" s="3">
        <f t="shared" si="1"/>
        <v>238500</v>
      </c>
      <c r="Q65" s="25">
        <f t="shared" si="2"/>
        <v>0</v>
      </c>
      <c r="R65" s="1">
        <v>25000.0</v>
      </c>
      <c r="S65" s="1">
        <v>61500.0</v>
      </c>
      <c r="T65" s="1">
        <v>76000.0</v>
      </c>
      <c r="U65" s="1">
        <v>76000.0</v>
      </c>
      <c r="V65" s="3"/>
      <c r="W65" s="1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</row>
    <row r="66">
      <c r="A66" s="3"/>
      <c r="B66" s="3"/>
      <c r="C66" s="1"/>
      <c r="D66" s="108">
        <v>5.40686162E8</v>
      </c>
      <c r="E66" s="105" t="s">
        <v>166</v>
      </c>
      <c r="F66" s="105" t="s">
        <v>261</v>
      </c>
      <c r="G66" s="105" t="s">
        <v>115</v>
      </c>
      <c r="H66" s="105" t="s">
        <v>17</v>
      </c>
      <c r="I66" s="70"/>
      <c r="J66" s="70">
        <f>5000+5000+22000</f>
        <v>32000</v>
      </c>
      <c r="K66" s="70"/>
      <c r="L66" s="3">
        <f>25000+185000+35000-J66</f>
        <v>213000</v>
      </c>
      <c r="M66" s="70"/>
      <c r="N66" s="70"/>
      <c r="O66" s="70"/>
      <c r="P66" s="3">
        <f t="shared" si="1"/>
        <v>213000</v>
      </c>
      <c r="Q66" s="25">
        <f t="shared" si="2"/>
        <v>0</v>
      </c>
      <c r="R66" s="1">
        <v>25000.0</v>
      </c>
      <c r="S66" s="1">
        <v>57000.0</v>
      </c>
      <c r="T66" s="1">
        <v>65500.0</v>
      </c>
      <c r="U66" s="1">
        <v>65500.0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</row>
    <row r="67">
      <c r="A67" s="3"/>
      <c r="B67" s="3"/>
      <c r="C67" s="3"/>
      <c r="D67" s="108">
        <v>5.40686162E8</v>
      </c>
      <c r="E67" s="70"/>
      <c r="F67" s="105" t="s">
        <v>262</v>
      </c>
      <c r="G67" s="105" t="s">
        <v>144</v>
      </c>
      <c r="H67" s="105" t="s">
        <v>58</v>
      </c>
      <c r="I67" s="70"/>
      <c r="J67" s="70">
        <f>5000+20000+34000+17000</f>
        <v>76000</v>
      </c>
      <c r="K67" s="70"/>
      <c r="L67" s="3">
        <f>30000+340000-J67</f>
        <v>294000</v>
      </c>
      <c r="M67" s="70"/>
      <c r="N67" s="70"/>
      <c r="O67" s="70"/>
      <c r="P67" s="3">
        <f t="shared" si="1"/>
        <v>294000</v>
      </c>
      <c r="Q67" s="25">
        <f t="shared" si="2"/>
        <v>0</v>
      </c>
      <c r="R67" s="1">
        <v>30000.0</v>
      </c>
      <c r="S67" s="1">
        <v>60000.0</v>
      </c>
      <c r="T67" s="1">
        <v>102000.0</v>
      </c>
      <c r="U67" s="1">
        <v>102000.0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</row>
    <row r="68">
      <c r="A68" s="3"/>
      <c r="B68" s="3"/>
      <c r="C68" s="3"/>
      <c r="D68" s="105" t="s">
        <v>263</v>
      </c>
      <c r="E68" s="70"/>
      <c r="F68" s="105" t="s">
        <v>264</v>
      </c>
      <c r="G68" s="105" t="s">
        <v>115</v>
      </c>
      <c r="H68" s="105" t="s">
        <v>46</v>
      </c>
      <c r="I68" s="70"/>
      <c r="J68" s="105">
        <v>15000.0</v>
      </c>
      <c r="K68" s="70"/>
      <c r="L68" s="3">
        <f>30000+250000+20000-J68</f>
        <v>285000</v>
      </c>
      <c r="M68" s="70"/>
      <c r="N68" s="70"/>
      <c r="O68" s="70"/>
      <c r="P68" s="3">
        <f t="shared" si="1"/>
        <v>125000</v>
      </c>
      <c r="Q68" s="25">
        <f t="shared" si="2"/>
        <v>160000</v>
      </c>
      <c r="R68" s="1">
        <v>30000.0</v>
      </c>
      <c r="S68" s="1">
        <v>95000.0</v>
      </c>
      <c r="T68" s="1"/>
      <c r="U68" s="1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</row>
    <row r="69">
      <c r="A69" s="1"/>
      <c r="B69" s="1"/>
      <c r="C69" s="3"/>
      <c r="D69" s="105">
        <v>5.55159369E8</v>
      </c>
      <c r="E69" s="70"/>
      <c r="F69" s="105" t="s">
        <v>265</v>
      </c>
      <c r="G69" s="105" t="s">
        <v>144</v>
      </c>
      <c r="H69" s="105" t="s">
        <v>56</v>
      </c>
      <c r="I69" s="70"/>
      <c r="J69" s="105">
        <f>33000+13000</f>
        <v>46000</v>
      </c>
      <c r="K69" s="70"/>
      <c r="L69" s="3">
        <f>25000+330000-J69</f>
        <v>309000</v>
      </c>
      <c r="M69" s="70"/>
      <c r="N69" s="70"/>
      <c r="O69" s="70"/>
      <c r="P69" s="3">
        <f t="shared" si="1"/>
        <v>309000</v>
      </c>
      <c r="Q69" s="25">
        <f t="shared" si="2"/>
        <v>0</v>
      </c>
      <c r="R69" s="1">
        <v>25000.0</v>
      </c>
      <c r="S69" s="1">
        <v>86000.0</v>
      </c>
      <c r="T69" s="1">
        <v>99000.0</v>
      </c>
      <c r="U69" s="1">
        <v>99000.0</v>
      </c>
      <c r="V69" s="3"/>
      <c r="W69" s="1"/>
      <c r="X69" s="1"/>
      <c r="Y69" s="1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</row>
    <row r="70">
      <c r="A70" s="1"/>
      <c r="B70" s="3"/>
      <c r="C70" s="3"/>
      <c r="D70" s="118">
        <v>7.93371271E8</v>
      </c>
      <c r="E70" s="105" t="s">
        <v>166</v>
      </c>
      <c r="F70" s="105" t="s">
        <v>266</v>
      </c>
      <c r="G70" s="105" t="s">
        <v>115</v>
      </c>
      <c r="H70" s="105" t="s">
        <v>17</v>
      </c>
      <c r="I70" s="70"/>
      <c r="J70" s="70"/>
      <c r="K70" s="70"/>
      <c r="L70" s="3">
        <f>25000+185000+35000-J70</f>
        <v>245000</v>
      </c>
      <c r="M70" s="70"/>
      <c r="N70" s="70"/>
      <c r="O70" s="70"/>
      <c r="P70" s="3">
        <f t="shared" si="1"/>
        <v>96000</v>
      </c>
      <c r="Q70" s="25">
        <f t="shared" si="2"/>
        <v>149000</v>
      </c>
      <c r="R70" s="1">
        <v>25000.0</v>
      </c>
      <c r="S70" s="1">
        <v>71000.0</v>
      </c>
      <c r="T70" s="1"/>
      <c r="U70" s="1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</row>
    <row r="71">
      <c r="A71" s="3"/>
      <c r="B71" s="1"/>
      <c r="C71" s="3"/>
      <c r="D71" s="119">
        <v>7.74560459E8</v>
      </c>
      <c r="E71" s="70"/>
      <c r="F71" s="105" t="s">
        <v>267</v>
      </c>
      <c r="G71" s="105" t="s">
        <v>115</v>
      </c>
      <c r="H71" s="105" t="s">
        <v>41</v>
      </c>
      <c r="I71" s="105" t="s">
        <v>129</v>
      </c>
      <c r="J71" s="70">
        <f>23000+18000+2000</f>
        <v>43000</v>
      </c>
      <c r="K71" s="70"/>
      <c r="L71" s="3">
        <f>25000+52000+230000+35000-J71</f>
        <v>299000</v>
      </c>
      <c r="M71" s="70"/>
      <c r="N71" s="70"/>
      <c r="O71" s="70"/>
      <c r="P71" s="3">
        <f t="shared" si="1"/>
        <v>299000</v>
      </c>
      <c r="Q71" s="25">
        <f t="shared" si="2"/>
        <v>0</v>
      </c>
      <c r="R71" s="1">
        <v>25000.0</v>
      </c>
      <c r="S71" s="1">
        <v>65000.0</v>
      </c>
      <c r="T71" s="1">
        <v>76000.0</v>
      </c>
      <c r="U71" s="1">
        <v>76000.0</v>
      </c>
      <c r="V71" s="1" t="s">
        <v>268</v>
      </c>
      <c r="W71" s="1">
        <v>30000.0</v>
      </c>
      <c r="X71" s="1">
        <v>15000.0</v>
      </c>
      <c r="Y71" s="1">
        <v>12000.0</v>
      </c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</row>
    <row r="72">
      <c r="A72" s="3"/>
      <c r="B72" s="3"/>
      <c r="C72" s="3"/>
      <c r="D72" s="105">
        <v>6.65650997E8</v>
      </c>
      <c r="E72" s="70"/>
      <c r="F72" s="105" t="s">
        <v>269</v>
      </c>
      <c r="G72" s="105" t="s">
        <v>144</v>
      </c>
      <c r="H72" s="105" t="s">
        <v>56</v>
      </c>
      <c r="I72" s="70"/>
      <c r="J72" s="70"/>
      <c r="K72" s="70"/>
      <c r="L72" s="3">
        <f>25000+330000-J72</f>
        <v>355000</v>
      </c>
      <c r="M72" s="70"/>
      <c r="N72" s="70"/>
      <c r="O72" s="70"/>
      <c r="P72" s="3">
        <f t="shared" si="1"/>
        <v>25000</v>
      </c>
      <c r="Q72" s="25">
        <f t="shared" si="2"/>
        <v>330000</v>
      </c>
      <c r="R72" s="1">
        <v>25000.0</v>
      </c>
      <c r="S72" s="1"/>
      <c r="T72" s="1"/>
      <c r="U72" s="1"/>
      <c r="V72" s="3"/>
      <c r="W72" s="3"/>
      <c r="X72" s="1"/>
      <c r="Y72" s="1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</row>
    <row r="73">
      <c r="A73" s="1"/>
      <c r="B73" s="1"/>
      <c r="C73" s="3"/>
      <c r="D73" s="70"/>
      <c r="E73" s="70"/>
      <c r="F73" s="105" t="s">
        <v>270</v>
      </c>
      <c r="G73" s="105" t="s">
        <v>115</v>
      </c>
      <c r="H73" s="105" t="s">
        <v>35</v>
      </c>
      <c r="I73" s="70"/>
      <c r="J73" s="70">
        <f>18000</f>
        <v>18000</v>
      </c>
      <c r="K73" s="70"/>
      <c r="L73" s="3">
        <f>25000+220000+35000-J73</f>
        <v>262000</v>
      </c>
      <c r="M73" s="70"/>
      <c r="N73" s="70"/>
      <c r="O73" s="70"/>
      <c r="P73" s="3">
        <f t="shared" si="1"/>
        <v>150000</v>
      </c>
      <c r="Q73" s="25">
        <f t="shared" si="2"/>
        <v>112000</v>
      </c>
      <c r="R73" s="1">
        <v>25000.0</v>
      </c>
      <c r="S73" s="1">
        <v>125000.0</v>
      </c>
      <c r="T73" s="1"/>
      <c r="U73" s="1"/>
      <c r="V73" s="3"/>
      <c r="W73" s="3"/>
      <c r="X73" s="1"/>
      <c r="Y73" s="1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</row>
    <row r="74">
      <c r="A74" s="3"/>
      <c r="B74" s="3"/>
      <c r="C74" s="3"/>
      <c r="D74" s="70"/>
      <c r="E74" s="70"/>
      <c r="F74" s="105" t="s">
        <v>271</v>
      </c>
      <c r="G74" s="105" t="s">
        <v>144</v>
      </c>
      <c r="H74" s="105" t="s">
        <v>49</v>
      </c>
      <c r="I74" s="70"/>
      <c r="J74" s="70">
        <f>20000+5000+15000</f>
        <v>40000</v>
      </c>
      <c r="K74" s="70"/>
      <c r="L74" s="3">
        <f>25000+305000-J74</f>
        <v>290000</v>
      </c>
      <c r="M74" s="70"/>
      <c r="N74" s="70"/>
      <c r="O74" s="70"/>
      <c r="P74" s="3">
        <f t="shared" si="1"/>
        <v>150000</v>
      </c>
      <c r="Q74" s="25">
        <f t="shared" si="2"/>
        <v>140000</v>
      </c>
      <c r="R74" s="1">
        <v>25000.0</v>
      </c>
      <c r="S74" s="1">
        <v>125000.0</v>
      </c>
      <c r="T74" s="1"/>
      <c r="U74" s="1"/>
      <c r="V74" s="3"/>
      <c r="W74" s="3"/>
      <c r="X74" s="1"/>
      <c r="Y74" s="1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</row>
    <row r="75">
      <c r="A75" s="1"/>
      <c r="B75" s="3"/>
      <c r="C75" s="3"/>
      <c r="D75" s="70"/>
      <c r="E75" s="70"/>
      <c r="F75" s="105" t="s">
        <v>272</v>
      </c>
      <c r="G75" s="105" t="s">
        <v>171</v>
      </c>
      <c r="H75" s="105" t="s">
        <v>172</v>
      </c>
      <c r="I75" s="70"/>
      <c r="J75" s="105">
        <f>15000+18000</f>
        <v>33000</v>
      </c>
      <c r="K75" s="70"/>
      <c r="L75" s="3">
        <f>30000+365000-J75</f>
        <v>362000</v>
      </c>
      <c r="M75" s="70"/>
      <c r="N75" s="70"/>
      <c r="O75" s="70"/>
      <c r="P75" s="3">
        <f t="shared" si="1"/>
        <v>152000</v>
      </c>
      <c r="Q75" s="25">
        <f t="shared" si="2"/>
        <v>210000</v>
      </c>
      <c r="R75" s="1">
        <v>30000.0</v>
      </c>
      <c r="S75" s="1">
        <v>122000.0</v>
      </c>
      <c r="T75" s="1"/>
      <c r="U75" s="1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</row>
    <row r="76">
      <c r="A76" s="3"/>
      <c r="B76" s="3"/>
      <c r="C76" s="3"/>
      <c r="D76" s="105">
        <v>5.614421E8</v>
      </c>
      <c r="E76" s="70"/>
      <c r="F76" s="105" t="s">
        <v>273</v>
      </c>
      <c r="G76" s="105" t="s">
        <v>115</v>
      </c>
      <c r="H76" s="105" t="s">
        <v>17</v>
      </c>
      <c r="I76" s="105" t="s">
        <v>129</v>
      </c>
      <c r="J76" s="105">
        <v>5000.0</v>
      </c>
      <c r="K76" s="70"/>
      <c r="L76" s="3">
        <f>25000+185000+35000+52000-J76</f>
        <v>292000</v>
      </c>
      <c r="M76" s="70"/>
      <c r="N76" s="70"/>
      <c r="O76" s="70"/>
      <c r="P76" s="3">
        <f t="shared" si="1"/>
        <v>25000</v>
      </c>
      <c r="Q76" s="25">
        <f t="shared" si="2"/>
        <v>267000</v>
      </c>
      <c r="R76" s="1">
        <v>25000.0</v>
      </c>
      <c r="S76" s="3"/>
      <c r="T76" s="1"/>
      <c r="U76" s="1"/>
      <c r="V76" s="1" t="s">
        <v>47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</row>
    <row r="77">
      <c r="A77" s="3"/>
      <c r="B77" s="3"/>
      <c r="C77" s="3"/>
      <c r="D77" s="105">
        <v>5.614421E8</v>
      </c>
      <c r="E77" s="70"/>
      <c r="F77" s="105" t="s">
        <v>274</v>
      </c>
      <c r="G77" s="105" t="s">
        <v>115</v>
      </c>
      <c r="H77" s="105" t="s">
        <v>27</v>
      </c>
      <c r="I77" s="105" t="s">
        <v>129</v>
      </c>
      <c r="J77" s="105">
        <v>5000.0</v>
      </c>
      <c r="K77" s="70"/>
      <c r="L77" s="3">
        <f>25000+205000+35000+52000-J77</f>
        <v>312000</v>
      </c>
      <c r="M77" s="70"/>
      <c r="N77" s="70"/>
      <c r="O77" s="70"/>
      <c r="P77" s="3">
        <f t="shared" si="1"/>
        <v>25000</v>
      </c>
      <c r="Q77" s="25">
        <f t="shared" si="2"/>
        <v>287000</v>
      </c>
      <c r="R77" s="1">
        <v>25000.0</v>
      </c>
      <c r="S77" s="3"/>
      <c r="T77" s="3"/>
      <c r="U77" s="1"/>
      <c r="V77" s="1" t="s">
        <v>47</v>
      </c>
      <c r="W77" s="3"/>
      <c r="X77" s="1"/>
      <c r="Y77" s="1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</row>
    <row r="78">
      <c r="A78" s="3"/>
      <c r="B78" s="3"/>
      <c r="C78" s="3"/>
      <c r="D78" s="105">
        <v>5.614421E8</v>
      </c>
      <c r="E78" s="70"/>
      <c r="F78" s="105" t="s">
        <v>275</v>
      </c>
      <c r="G78" s="105" t="s">
        <v>144</v>
      </c>
      <c r="H78" s="105" t="s">
        <v>52</v>
      </c>
      <c r="I78" s="105" t="s">
        <v>129</v>
      </c>
      <c r="J78" s="105">
        <v>5000.0</v>
      </c>
      <c r="K78" s="70"/>
      <c r="L78" s="3">
        <f>25000+52000+320000-J78</f>
        <v>392000</v>
      </c>
      <c r="M78" s="105"/>
      <c r="N78" s="70"/>
      <c r="O78" s="70"/>
      <c r="P78" s="3">
        <f t="shared" si="1"/>
        <v>20000</v>
      </c>
      <c r="Q78" s="25">
        <f t="shared" si="2"/>
        <v>372000</v>
      </c>
      <c r="R78" s="1">
        <v>20000.0</v>
      </c>
      <c r="S78" s="1"/>
      <c r="T78" s="3"/>
      <c r="U78" s="1"/>
      <c r="V78" s="1" t="s">
        <v>47</v>
      </c>
      <c r="W78" s="3"/>
      <c r="X78" s="3"/>
      <c r="Y78" s="1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</row>
    <row r="79">
      <c r="A79" s="70"/>
      <c r="B79" s="3"/>
      <c r="C79" s="70"/>
      <c r="D79" s="105">
        <v>6.69507327E8</v>
      </c>
      <c r="E79" s="70"/>
      <c r="F79" s="105" t="s">
        <v>276</v>
      </c>
      <c r="G79" s="105" t="s">
        <v>171</v>
      </c>
      <c r="H79" s="105" t="s">
        <v>198</v>
      </c>
      <c r="I79" s="105" t="s">
        <v>129</v>
      </c>
      <c r="J79" s="105">
        <f t="shared" ref="J79:J80" si="7">13000+5000</f>
        <v>18000</v>
      </c>
      <c r="K79" s="70"/>
      <c r="L79" s="3">
        <f>25000+55000+355000-J79</f>
        <v>417000</v>
      </c>
      <c r="M79" s="70"/>
      <c r="N79" s="70"/>
      <c r="O79" s="70"/>
      <c r="P79" s="3">
        <f t="shared" si="1"/>
        <v>179000</v>
      </c>
      <c r="Q79" s="25">
        <f t="shared" si="2"/>
        <v>238000</v>
      </c>
      <c r="R79" s="1">
        <v>25000.0</v>
      </c>
      <c r="S79" s="1">
        <f>142000-18000</f>
        <v>124000</v>
      </c>
      <c r="T79" s="1"/>
      <c r="U79" s="1"/>
      <c r="V79" s="1" t="s">
        <v>277</v>
      </c>
      <c r="W79" s="1">
        <v>30000.0</v>
      </c>
      <c r="X79" s="1"/>
      <c r="Y79" s="1"/>
      <c r="Z79" s="1"/>
      <c r="AA79" s="1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</row>
    <row r="80">
      <c r="A80" s="3"/>
      <c r="B80" s="3"/>
      <c r="C80" s="3"/>
      <c r="D80" s="105">
        <v>6.69507327E8</v>
      </c>
      <c r="E80" s="70"/>
      <c r="F80" s="105" t="s">
        <v>278</v>
      </c>
      <c r="G80" s="105" t="s">
        <v>144</v>
      </c>
      <c r="H80" s="105" t="s">
        <v>56</v>
      </c>
      <c r="I80" s="105" t="s">
        <v>129</v>
      </c>
      <c r="J80" s="70">
        <f t="shared" si="7"/>
        <v>18000</v>
      </c>
      <c r="K80" s="70"/>
      <c r="L80" s="3">
        <f>25000+55000+330000-J80</f>
        <v>392000</v>
      </c>
      <c r="M80" s="70"/>
      <c r="N80" s="70"/>
      <c r="O80" s="70"/>
      <c r="P80" s="3">
        <f t="shared" si="1"/>
        <v>169000</v>
      </c>
      <c r="Q80" s="25">
        <f t="shared" si="2"/>
        <v>223000</v>
      </c>
      <c r="R80" s="1">
        <v>25000.0</v>
      </c>
      <c r="S80" s="3">
        <f>132000-18000</f>
        <v>114000</v>
      </c>
      <c r="T80" s="1"/>
      <c r="U80" s="1"/>
      <c r="V80" s="1" t="s">
        <v>279</v>
      </c>
      <c r="W80" s="1">
        <v>30000.0</v>
      </c>
      <c r="X80" s="1"/>
      <c r="Y80" s="1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</row>
    <row r="81">
      <c r="A81" s="3"/>
      <c r="B81" s="3"/>
      <c r="C81" s="3"/>
      <c r="D81" s="105">
        <v>5.50650675E8</v>
      </c>
      <c r="E81" s="70"/>
      <c r="F81" s="105" t="s">
        <v>280</v>
      </c>
      <c r="G81" s="105" t="s">
        <v>115</v>
      </c>
      <c r="H81" s="105" t="s">
        <v>35</v>
      </c>
      <c r="I81" s="105"/>
      <c r="J81" s="70">
        <f>13000+22000</f>
        <v>35000</v>
      </c>
      <c r="K81" s="70"/>
      <c r="L81" s="3">
        <f>25000+220000+35000+55000-J81</f>
        <v>300000</v>
      </c>
      <c r="M81" s="70"/>
      <c r="N81" s="70"/>
      <c r="O81" s="70"/>
      <c r="P81" s="3">
        <f t="shared" si="1"/>
        <v>245000</v>
      </c>
      <c r="Q81" s="25">
        <f t="shared" si="2"/>
        <v>55000</v>
      </c>
      <c r="R81" s="1">
        <v>25000.0</v>
      </c>
      <c r="S81" s="1">
        <v>68000.0</v>
      </c>
      <c r="T81" s="1">
        <v>76000.0</v>
      </c>
      <c r="U81" s="1">
        <v>76000.0</v>
      </c>
      <c r="V81" s="1" t="s">
        <v>132</v>
      </c>
      <c r="W81" s="3"/>
      <c r="X81" s="1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</row>
    <row r="82">
      <c r="A82" s="3"/>
      <c r="B82" s="3"/>
      <c r="C82" s="3"/>
      <c r="D82" s="105">
        <v>5.53141966E8</v>
      </c>
      <c r="E82" s="70"/>
      <c r="F82" s="105" t="s">
        <v>281</v>
      </c>
      <c r="G82" s="105" t="s">
        <v>144</v>
      </c>
      <c r="H82" s="105" t="s">
        <v>49</v>
      </c>
      <c r="I82" s="105" t="s">
        <v>129</v>
      </c>
      <c r="J82" s="105">
        <v>20000.0</v>
      </c>
      <c r="K82" s="70"/>
      <c r="L82" s="3">
        <f>25000+305000+40000-J82</f>
        <v>350000</v>
      </c>
      <c r="M82" s="70"/>
      <c r="N82" s="70"/>
      <c r="O82" s="70"/>
      <c r="P82" s="3">
        <f t="shared" si="1"/>
        <v>147000</v>
      </c>
      <c r="Q82" s="25">
        <f t="shared" si="2"/>
        <v>203000</v>
      </c>
      <c r="R82" s="1">
        <v>25000.0</v>
      </c>
      <c r="S82" s="3">
        <f>122000-20000</f>
        <v>102000</v>
      </c>
      <c r="T82" s="1"/>
      <c r="U82" s="3"/>
      <c r="V82" s="1" t="s">
        <v>5</v>
      </c>
      <c r="W82" s="1">
        <v>20000.0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</row>
    <row r="83">
      <c r="A83" s="3"/>
      <c r="B83" s="3"/>
      <c r="C83" s="70"/>
      <c r="D83" s="105">
        <v>5.53141966E8</v>
      </c>
      <c r="E83" s="70"/>
      <c r="F83" s="105" t="s">
        <v>282</v>
      </c>
      <c r="G83" s="105" t="s">
        <v>115</v>
      </c>
      <c r="H83" s="105" t="s">
        <v>27</v>
      </c>
      <c r="I83" s="105" t="s">
        <v>129</v>
      </c>
      <c r="J83" s="105">
        <v>15000.0</v>
      </c>
      <c r="K83" s="70"/>
      <c r="L83" s="3">
        <f>25000+40000+35000+205000-J83</f>
        <v>290000</v>
      </c>
      <c r="M83" s="70"/>
      <c r="N83" s="70"/>
      <c r="O83" s="70"/>
      <c r="P83" s="3">
        <f t="shared" si="1"/>
        <v>127000</v>
      </c>
      <c r="Q83" s="25">
        <f t="shared" si="2"/>
        <v>163000</v>
      </c>
      <c r="R83" s="1">
        <v>25000.0</v>
      </c>
      <c r="S83" s="3">
        <f>82000</f>
        <v>82000</v>
      </c>
      <c r="T83" s="3"/>
      <c r="U83" s="3"/>
      <c r="V83" s="1" t="s">
        <v>5</v>
      </c>
      <c r="W83" s="1">
        <v>20000.0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</row>
    <row r="84">
      <c r="A84" s="3"/>
      <c r="B84" s="3"/>
      <c r="C84" s="3"/>
      <c r="D84" s="105">
        <v>5.60066919E8</v>
      </c>
      <c r="E84" s="105" t="s">
        <v>166</v>
      </c>
      <c r="F84" s="105" t="s">
        <v>283</v>
      </c>
      <c r="G84" s="105" t="s">
        <v>115</v>
      </c>
      <c r="H84" s="105" t="s">
        <v>27</v>
      </c>
      <c r="I84" s="105" t="s">
        <v>129</v>
      </c>
      <c r="J84" s="105"/>
      <c r="K84" s="70"/>
      <c r="L84" s="3">
        <f>25000+35000+205000+55000-J84</f>
        <v>320000</v>
      </c>
      <c r="M84" s="70"/>
      <c r="N84" s="70"/>
      <c r="O84" s="70"/>
      <c r="P84" s="3">
        <f t="shared" si="1"/>
        <v>25000</v>
      </c>
      <c r="Q84" s="25">
        <f t="shared" si="2"/>
        <v>295000</v>
      </c>
      <c r="R84" s="1">
        <v>25000.0</v>
      </c>
      <c r="S84" s="3"/>
      <c r="T84" s="3"/>
      <c r="U84" s="3"/>
      <c r="V84" s="1" t="s">
        <v>284</v>
      </c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</row>
    <row r="85">
      <c r="A85" s="3"/>
      <c r="B85" s="3"/>
      <c r="C85" s="70"/>
      <c r="D85" s="105">
        <v>6.73127513E8</v>
      </c>
      <c r="E85" s="70"/>
      <c r="F85" s="105" t="s">
        <v>285</v>
      </c>
      <c r="G85" s="105" t="s">
        <v>115</v>
      </c>
      <c r="H85" s="105" t="s">
        <v>35</v>
      </c>
      <c r="I85" s="70"/>
      <c r="J85" s="70">
        <f>13000+22000</f>
        <v>35000</v>
      </c>
      <c r="K85" s="70"/>
      <c r="L85" s="3">
        <f>25000+220000+35000-J85</f>
        <v>245000</v>
      </c>
      <c r="M85" s="70"/>
      <c r="N85" s="70"/>
      <c r="O85" s="70"/>
      <c r="P85" s="3">
        <f t="shared" si="1"/>
        <v>245000</v>
      </c>
      <c r="Q85" s="25">
        <f t="shared" si="2"/>
        <v>0</v>
      </c>
      <c r="R85" s="1">
        <v>25000.0</v>
      </c>
      <c r="S85" s="1">
        <v>68000.0</v>
      </c>
      <c r="T85" s="1">
        <v>76000.0</v>
      </c>
      <c r="U85" s="1">
        <v>76000.0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</row>
    <row r="86">
      <c r="A86" s="3"/>
      <c r="B86" s="3"/>
      <c r="C86" s="3"/>
      <c r="D86" s="105">
        <v>7.73324163E8</v>
      </c>
      <c r="E86" s="70"/>
      <c r="F86" s="105" t="s">
        <v>286</v>
      </c>
      <c r="G86" s="105" t="s">
        <v>115</v>
      </c>
      <c r="H86" s="105" t="s">
        <v>32</v>
      </c>
      <c r="I86" s="105"/>
      <c r="J86" s="105">
        <f>22000+11000+13000</f>
        <v>46000</v>
      </c>
      <c r="K86" s="70"/>
      <c r="L86" s="3">
        <f>25000+220000-J86</f>
        <v>199000</v>
      </c>
      <c r="M86" s="70"/>
      <c r="N86" s="70"/>
      <c r="O86" s="70"/>
      <c r="P86" s="3">
        <f t="shared" si="1"/>
        <v>199000</v>
      </c>
      <c r="Q86" s="25">
        <f t="shared" si="2"/>
        <v>0</v>
      </c>
      <c r="R86" s="1">
        <v>25000.0</v>
      </c>
      <c r="S86" s="1">
        <v>42000.0</v>
      </c>
      <c r="T86" s="1">
        <v>66000.0</v>
      </c>
      <c r="U86" s="1">
        <v>66000.0</v>
      </c>
      <c r="V86" s="3"/>
      <c r="W86" s="1"/>
      <c r="X86" s="1"/>
      <c r="Y86" s="1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</row>
    <row r="87">
      <c r="A87" s="3"/>
      <c r="B87" s="3"/>
      <c r="C87" s="3"/>
      <c r="D87" s="105">
        <v>7.75170718E8</v>
      </c>
      <c r="E87" s="70"/>
      <c r="F87" s="105" t="s">
        <v>287</v>
      </c>
      <c r="G87" s="105" t="s">
        <v>144</v>
      </c>
      <c r="H87" s="105" t="s">
        <v>56</v>
      </c>
      <c r="I87" s="70"/>
      <c r="J87" s="105">
        <v>46000.0</v>
      </c>
      <c r="K87" s="70"/>
      <c r="L87" s="3">
        <f>25000+330000-J87</f>
        <v>309000</v>
      </c>
      <c r="M87" s="70"/>
      <c r="N87" s="70"/>
      <c r="O87" s="70"/>
      <c r="P87" s="3">
        <f t="shared" si="1"/>
        <v>309000</v>
      </c>
      <c r="Q87" s="25">
        <f t="shared" si="2"/>
        <v>0</v>
      </c>
      <c r="R87" s="1">
        <v>25000.0</v>
      </c>
      <c r="S87" s="1">
        <v>86000.0</v>
      </c>
      <c r="T87" s="1">
        <v>99000.0</v>
      </c>
      <c r="U87" s="1">
        <v>99000.0</v>
      </c>
      <c r="V87" s="3"/>
      <c r="W87" s="1"/>
      <c r="X87" s="1"/>
      <c r="Y87" s="1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</row>
    <row r="88">
      <c r="A88" s="1"/>
      <c r="B88" s="3"/>
      <c r="C88" s="3"/>
      <c r="D88" s="105" t="s">
        <v>288</v>
      </c>
      <c r="E88" s="105" t="s">
        <v>166</v>
      </c>
      <c r="F88" s="105" t="s">
        <v>289</v>
      </c>
      <c r="G88" s="105" t="s">
        <v>115</v>
      </c>
      <c r="H88" s="105" t="s">
        <v>39</v>
      </c>
      <c r="I88" s="70"/>
      <c r="J88" s="105">
        <v>5000.0</v>
      </c>
      <c r="K88" s="70"/>
      <c r="L88" s="3">
        <f>25000+230000-J88</f>
        <v>250000</v>
      </c>
      <c r="M88" s="70"/>
      <c r="N88" s="70"/>
      <c r="O88" s="70"/>
      <c r="P88" s="3">
        <f t="shared" si="1"/>
        <v>50000</v>
      </c>
      <c r="Q88" s="25">
        <f t="shared" si="2"/>
        <v>200000</v>
      </c>
      <c r="R88" s="1">
        <v>25000.0</v>
      </c>
      <c r="S88" s="1">
        <v>25000.0</v>
      </c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</row>
    <row r="89">
      <c r="A89" s="3"/>
      <c r="B89" s="3"/>
      <c r="C89" s="3"/>
      <c r="D89" s="105" t="s">
        <v>288</v>
      </c>
      <c r="E89" s="105" t="s">
        <v>166</v>
      </c>
      <c r="F89" s="105" t="s">
        <v>290</v>
      </c>
      <c r="G89" s="105" t="s">
        <v>115</v>
      </c>
      <c r="H89" s="105" t="s">
        <v>35</v>
      </c>
      <c r="I89" s="70"/>
      <c r="J89" s="105">
        <v>5000.0</v>
      </c>
      <c r="K89" s="70"/>
      <c r="L89" s="3">
        <f>25000+35000+220000-J89</f>
        <v>275000</v>
      </c>
      <c r="M89" s="70"/>
      <c r="N89" s="70"/>
      <c r="O89" s="70"/>
      <c r="P89" s="3">
        <f t="shared" si="1"/>
        <v>50000</v>
      </c>
      <c r="Q89" s="25">
        <f t="shared" si="2"/>
        <v>225000</v>
      </c>
      <c r="R89" s="1">
        <v>25000.0</v>
      </c>
      <c r="S89" s="1">
        <v>25000.0</v>
      </c>
      <c r="T89" s="1"/>
      <c r="U89" s="1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</row>
    <row r="90">
      <c r="A90" s="1"/>
      <c r="B90" s="3"/>
      <c r="C90" s="70"/>
      <c r="D90" s="120" t="s">
        <v>291</v>
      </c>
      <c r="E90" s="70"/>
      <c r="F90" s="105" t="s">
        <v>292</v>
      </c>
      <c r="G90" s="105" t="s">
        <v>144</v>
      </c>
      <c r="H90" s="105" t="s">
        <v>49</v>
      </c>
      <c r="I90" s="70"/>
      <c r="J90" s="70">
        <f>10000+10000+30500</f>
        <v>50500</v>
      </c>
      <c r="K90" s="70"/>
      <c r="L90" s="3">
        <f>25000+305000-J90</f>
        <v>279500</v>
      </c>
      <c r="M90" s="70"/>
      <c r="N90" s="70"/>
      <c r="O90" s="70"/>
      <c r="P90" s="3">
        <f t="shared" si="1"/>
        <v>279500</v>
      </c>
      <c r="Q90" s="25">
        <f t="shared" si="2"/>
        <v>0</v>
      </c>
      <c r="R90" s="1">
        <v>25000.0</v>
      </c>
      <c r="S90" s="1">
        <v>51500.0</v>
      </c>
      <c r="T90" s="1">
        <v>101500.0</v>
      </c>
      <c r="U90" s="1">
        <v>101500.0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</row>
    <row r="91">
      <c r="A91" s="3"/>
      <c r="B91" s="3"/>
      <c r="C91" s="3"/>
      <c r="D91" s="105" t="s">
        <v>293</v>
      </c>
      <c r="E91" s="70"/>
      <c r="F91" s="105" t="s">
        <v>294</v>
      </c>
      <c r="G91" s="105" t="s">
        <v>115</v>
      </c>
      <c r="H91" s="105" t="s">
        <v>27</v>
      </c>
      <c r="I91" s="70"/>
      <c r="J91" s="105">
        <v>25500.0</v>
      </c>
      <c r="K91" s="70"/>
      <c r="L91" s="3">
        <f>25000+35000+205000-J91</f>
        <v>239500</v>
      </c>
      <c r="M91" s="70"/>
      <c r="N91" s="70"/>
      <c r="O91" s="70"/>
      <c r="P91" s="3">
        <f t="shared" si="1"/>
        <v>239500</v>
      </c>
      <c r="Q91" s="25">
        <f t="shared" si="2"/>
        <v>0</v>
      </c>
      <c r="R91" s="1">
        <v>25000.0</v>
      </c>
      <c r="S91" s="1">
        <v>71500.0</v>
      </c>
      <c r="T91" s="1">
        <v>71500.0</v>
      </c>
      <c r="U91" s="1">
        <v>71500.0</v>
      </c>
      <c r="V91" s="3"/>
      <c r="W91" s="1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</row>
    <row r="92">
      <c r="A92" s="3"/>
      <c r="B92" s="3"/>
      <c r="C92" s="3"/>
      <c r="D92" s="1">
        <v>5.49478724E8</v>
      </c>
      <c r="E92" s="3"/>
      <c r="F92" s="1" t="s">
        <v>295</v>
      </c>
      <c r="G92" s="1" t="s">
        <v>115</v>
      </c>
      <c r="H92" s="1" t="s">
        <v>41</v>
      </c>
      <c r="I92" s="1" t="s">
        <v>129</v>
      </c>
      <c r="J92" s="3"/>
      <c r="K92" s="3"/>
      <c r="L92" s="3">
        <f>25000+230000+35000-J92</f>
        <v>290000</v>
      </c>
      <c r="M92" s="70"/>
      <c r="N92" s="70"/>
      <c r="O92" s="70"/>
      <c r="P92" s="3">
        <f t="shared" si="1"/>
        <v>25000</v>
      </c>
      <c r="Q92" s="25">
        <f t="shared" si="2"/>
        <v>265000</v>
      </c>
      <c r="R92" s="1">
        <v>25000.0</v>
      </c>
      <c r="S92" s="3"/>
      <c r="T92" s="1"/>
      <c r="U92" s="1"/>
      <c r="V92" s="1" t="s">
        <v>268</v>
      </c>
      <c r="W92" s="1"/>
      <c r="X92" s="1"/>
      <c r="Y92" s="1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</row>
    <row r="93">
      <c r="A93" s="3"/>
      <c r="B93" s="3"/>
      <c r="C93" s="3"/>
      <c r="D93" s="1">
        <v>5.53044356E8</v>
      </c>
      <c r="E93" s="3"/>
      <c r="F93" s="1" t="s">
        <v>296</v>
      </c>
      <c r="G93" s="1" t="s">
        <v>115</v>
      </c>
      <c r="H93" s="1" t="s">
        <v>35</v>
      </c>
      <c r="I93" s="1"/>
      <c r="J93" s="1">
        <f>13000+5000</f>
        <v>18000</v>
      </c>
      <c r="K93" s="3"/>
      <c r="L93" s="3">
        <f>25000+220000+35000-J93</f>
        <v>262000</v>
      </c>
      <c r="M93" s="70"/>
      <c r="N93" s="70"/>
      <c r="O93" s="70"/>
      <c r="P93" s="3">
        <f t="shared" si="1"/>
        <v>72000</v>
      </c>
      <c r="Q93" s="25">
        <f t="shared" si="2"/>
        <v>190000</v>
      </c>
      <c r="R93" s="1">
        <v>25000.0</v>
      </c>
      <c r="S93" s="1">
        <v>47000.0</v>
      </c>
      <c r="T93" s="3"/>
      <c r="U93" s="3"/>
      <c r="V93" s="1"/>
      <c r="W93" s="1"/>
      <c r="X93" s="1"/>
      <c r="Y93" s="1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</row>
    <row r="94">
      <c r="A94" s="1"/>
      <c r="B94" s="3"/>
      <c r="C94" s="3"/>
      <c r="D94" s="1">
        <v>5.53044356E8</v>
      </c>
      <c r="E94" s="3"/>
      <c r="F94" s="1" t="s">
        <v>297</v>
      </c>
      <c r="G94" s="1" t="s">
        <v>115</v>
      </c>
      <c r="H94" s="1" t="s">
        <v>46</v>
      </c>
      <c r="I94" s="3"/>
      <c r="J94" s="1">
        <f>12000+15000+5000</f>
        <v>32000</v>
      </c>
      <c r="K94" s="3"/>
      <c r="L94" s="3">
        <f>30000+250000+20000-J94</f>
        <v>268000</v>
      </c>
      <c r="M94" s="70"/>
      <c r="N94" s="70"/>
      <c r="O94" s="70"/>
      <c r="P94" s="3">
        <f t="shared" si="1"/>
        <v>105500</v>
      </c>
      <c r="Q94" s="25">
        <f t="shared" si="2"/>
        <v>162500</v>
      </c>
      <c r="R94" s="1">
        <v>30000.0</v>
      </c>
      <c r="S94" s="1">
        <f>110000-J95</f>
        <v>75500</v>
      </c>
      <c r="T94" s="1"/>
      <c r="U94" s="1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</row>
    <row r="95">
      <c r="A95" s="1"/>
      <c r="B95" s="3"/>
      <c r="C95" s="3"/>
      <c r="D95" s="1">
        <v>5.53044356E8</v>
      </c>
      <c r="E95" s="3"/>
      <c r="F95" s="1" t="s">
        <v>298</v>
      </c>
      <c r="G95" s="1" t="s">
        <v>144</v>
      </c>
      <c r="H95" s="1" t="s">
        <v>56</v>
      </c>
      <c r="I95" s="3"/>
      <c r="J95" s="1">
        <f>16500+13000+5000</f>
        <v>34500</v>
      </c>
      <c r="K95" s="1"/>
      <c r="L95" s="3">
        <f>25000+330000-J95</f>
        <v>320500</v>
      </c>
      <c r="M95" s="70"/>
      <c r="N95" s="70"/>
      <c r="O95" s="70"/>
      <c r="P95" s="3">
        <f t="shared" si="1"/>
        <v>122500</v>
      </c>
      <c r="Q95" s="25">
        <f t="shared" si="2"/>
        <v>198000</v>
      </c>
      <c r="R95" s="1">
        <v>25000.0</v>
      </c>
      <c r="S95" s="1">
        <f>132000-J95</f>
        <v>97500</v>
      </c>
      <c r="T95" s="1"/>
      <c r="U95" s="1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</row>
    <row r="96">
      <c r="A96" s="3"/>
      <c r="B96" s="3"/>
      <c r="C96" s="3"/>
      <c r="D96" s="1" t="s">
        <v>299</v>
      </c>
      <c r="E96" s="3"/>
      <c r="F96" s="1" t="s">
        <v>300</v>
      </c>
      <c r="G96" s="1" t="s">
        <v>144</v>
      </c>
      <c r="H96" s="1" t="s">
        <v>49</v>
      </c>
      <c r="I96" s="3"/>
      <c r="J96" s="1">
        <v>20000.0</v>
      </c>
      <c r="K96" s="3"/>
      <c r="L96" s="3">
        <f>25000+305000-J96</f>
        <v>310000</v>
      </c>
      <c r="M96" s="70"/>
      <c r="N96" s="105"/>
      <c r="O96" s="70"/>
      <c r="P96" s="3">
        <f t="shared" si="1"/>
        <v>127000</v>
      </c>
      <c r="Q96" s="25">
        <f t="shared" si="2"/>
        <v>183000</v>
      </c>
      <c r="R96" s="1">
        <v>25000.0</v>
      </c>
      <c r="S96" s="1">
        <v>102000.0</v>
      </c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</row>
    <row r="97">
      <c r="A97" s="3"/>
      <c r="B97" s="3"/>
      <c r="C97" s="3"/>
      <c r="D97" s="1" t="s">
        <v>301</v>
      </c>
      <c r="E97" s="3"/>
      <c r="F97" s="1" t="s">
        <v>302</v>
      </c>
      <c r="G97" s="1" t="s">
        <v>115</v>
      </c>
      <c r="H97" s="1" t="s">
        <v>46</v>
      </c>
      <c r="I97" s="3"/>
      <c r="J97" s="3">
        <f>15000+5000</f>
        <v>20000</v>
      </c>
      <c r="K97" s="3"/>
      <c r="L97" s="3">
        <f>30000+250000+20000-J97</f>
        <v>280000</v>
      </c>
      <c r="M97" s="70"/>
      <c r="N97" s="70"/>
      <c r="O97" s="70"/>
      <c r="P97" s="3">
        <f t="shared" si="1"/>
        <v>120000</v>
      </c>
      <c r="Q97" s="25">
        <f t="shared" si="2"/>
        <v>160000</v>
      </c>
      <c r="R97" s="1">
        <v>30000.0</v>
      </c>
      <c r="S97" s="3">
        <f>110000-J97</f>
        <v>90000</v>
      </c>
      <c r="T97" s="1"/>
      <c r="U97" s="1"/>
      <c r="V97" s="3"/>
      <c r="W97" s="1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</row>
    <row r="98">
      <c r="A98" s="3"/>
      <c r="B98" s="3"/>
      <c r="C98" s="3"/>
      <c r="D98" s="1" t="s">
        <v>301</v>
      </c>
      <c r="E98" s="3"/>
      <c r="F98" s="1" t="s">
        <v>303</v>
      </c>
      <c r="G98" s="1" t="s">
        <v>115</v>
      </c>
      <c r="H98" s="1" t="s">
        <v>41</v>
      </c>
      <c r="I98" s="3"/>
      <c r="J98" s="3">
        <f>18000+5000</f>
        <v>23000</v>
      </c>
      <c r="K98" s="3"/>
      <c r="L98" s="3">
        <f>25000+35000+230000-J98</f>
        <v>267000</v>
      </c>
      <c r="M98" s="70"/>
      <c r="N98" s="70"/>
      <c r="O98" s="70"/>
      <c r="P98" s="3">
        <f t="shared" si="1"/>
        <v>109000</v>
      </c>
      <c r="Q98" s="25">
        <f t="shared" si="2"/>
        <v>158000</v>
      </c>
      <c r="R98" s="1">
        <v>25000.0</v>
      </c>
      <c r="S98" s="1">
        <f>15000+92000-J98</f>
        <v>84000</v>
      </c>
      <c r="T98" s="1"/>
      <c r="U98" s="1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</row>
    <row r="99">
      <c r="A99" s="121"/>
      <c r="B99" s="3"/>
      <c r="C99" s="3"/>
      <c r="D99" s="1" t="s">
        <v>301</v>
      </c>
      <c r="E99" s="1" t="s">
        <v>166</v>
      </c>
      <c r="F99" s="1" t="s">
        <v>304</v>
      </c>
      <c r="G99" s="1" t="s">
        <v>8</v>
      </c>
      <c r="H99" s="1" t="s">
        <v>8</v>
      </c>
      <c r="I99" s="1"/>
      <c r="J99" s="1">
        <v>5000.0</v>
      </c>
      <c r="K99" s="3"/>
      <c r="L99" s="3">
        <f>18000+165000-J99</f>
        <v>178000</v>
      </c>
      <c r="M99" s="70"/>
      <c r="N99" s="70"/>
      <c r="O99" s="70"/>
      <c r="P99" s="3">
        <f t="shared" si="1"/>
        <v>79000</v>
      </c>
      <c r="Q99" s="25">
        <f t="shared" si="2"/>
        <v>99000</v>
      </c>
      <c r="R99" s="1">
        <v>18000.0</v>
      </c>
      <c r="S99" s="1">
        <f>66000-J99</f>
        <v>61000</v>
      </c>
      <c r="T99" s="1"/>
      <c r="U99" s="1"/>
      <c r="V99" s="1"/>
      <c r="W99" s="1"/>
      <c r="X99" s="1"/>
      <c r="Y99" s="1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</row>
    <row r="100">
      <c r="A100" s="3"/>
      <c r="B100" s="3"/>
      <c r="C100" s="3"/>
      <c r="D100" s="1">
        <v>5.58487705E8</v>
      </c>
      <c r="E100" s="3"/>
      <c r="F100" s="1" t="s">
        <v>305</v>
      </c>
      <c r="G100" s="1" t="s">
        <v>115</v>
      </c>
      <c r="H100" s="1" t="s">
        <v>46</v>
      </c>
      <c r="I100" s="1" t="s">
        <v>129</v>
      </c>
      <c r="J100" s="1">
        <v>15000.0</v>
      </c>
      <c r="K100" s="3"/>
      <c r="L100" s="3">
        <f>30000+250000+20000+55000-J100</f>
        <v>340000</v>
      </c>
      <c r="M100" s="70"/>
      <c r="N100" s="70"/>
      <c r="O100" s="70"/>
      <c r="P100" s="3">
        <f t="shared" si="1"/>
        <v>155000</v>
      </c>
      <c r="Q100" s="25">
        <f t="shared" si="2"/>
        <v>185000</v>
      </c>
      <c r="R100" s="1">
        <v>30000.0</v>
      </c>
      <c r="S100" s="1">
        <f>110000-J100</f>
        <v>95000</v>
      </c>
      <c r="T100" s="1"/>
      <c r="U100" s="1"/>
      <c r="V100" s="1" t="s">
        <v>44</v>
      </c>
      <c r="W100" s="1">
        <v>30000.0</v>
      </c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</row>
    <row r="101">
      <c r="A101" s="3"/>
      <c r="B101" s="3"/>
      <c r="C101" s="3"/>
      <c r="D101" s="1">
        <v>5.50667501E8</v>
      </c>
      <c r="E101" s="3"/>
      <c r="F101" s="1" t="s">
        <v>306</v>
      </c>
      <c r="G101" s="1" t="s">
        <v>115</v>
      </c>
      <c r="H101" s="1" t="s">
        <v>17</v>
      </c>
      <c r="I101" s="70"/>
      <c r="J101" s="1">
        <v>15000.0</v>
      </c>
      <c r="K101" s="3"/>
      <c r="L101" s="3">
        <f>25000+185000+35000-J101</f>
        <v>230000</v>
      </c>
      <c r="M101" s="70"/>
      <c r="N101" s="70"/>
      <c r="O101" s="70"/>
      <c r="P101" s="3">
        <f t="shared" si="1"/>
        <v>25000</v>
      </c>
      <c r="Q101" s="25">
        <f t="shared" si="2"/>
        <v>205000</v>
      </c>
      <c r="R101" s="1">
        <v>25000.0</v>
      </c>
      <c r="S101" s="1"/>
      <c r="T101" s="1"/>
      <c r="U101" s="1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</row>
    <row r="102">
      <c r="A102" s="3"/>
      <c r="B102" s="3"/>
      <c r="C102" s="3"/>
      <c r="D102" s="1">
        <v>5.50667501E8</v>
      </c>
      <c r="E102" s="3"/>
      <c r="F102" s="1" t="s">
        <v>307</v>
      </c>
      <c r="G102" s="1" t="s">
        <v>115</v>
      </c>
      <c r="H102" s="1" t="s">
        <v>35</v>
      </c>
      <c r="I102" s="3"/>
      <c r="J102" s="1">
        <v>5000.0</v>
      </c>
      <c r="K102" s="3"/>
      <c r="L102" s="3">
        <f>25000+220000+35000-J102</f>
        <v>275000</v>
      </c>
      <c r="M102" s="70"/>
      <c r="N102" s="70"/>
      <c r="O102" s="70"/>
      <c r="P102" s="3">
        <f t="shared" si="1"/>
        <v>25000</v>
      </c>
      <c r="Q102" s="25">
        <f t="shared" si="2"/>
        <v>250000</v>
      </c>
      <c r="R102" s="1">
        <v>25000.0</v>
      </c>
      <c r="S102" s="1"/>
      <c r="T102" s="1"/>
      <c r="U102" s="1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</row>
    <row r="103">
      <c r="A103" s="1"/>
      <c r="B103" s="3"/>
      <c r="C103" s="3"/>
      <c r="D103" s="1" t="s">
        <v>308</v>
      </c>
      <c r="E103" s="3"/>
      <c r="F103" s="1" t="s">
        <v>309</v>
      </c>
      <c r="G103" s="1" t="s">
        <v>115</v>
      </c>
      <c r="H103" s="1" t="s">
        <v>46</v>
      </c>
      <c r="I103" s="3"/>
      <c r="J103" s="3">
        <f>25000+20500+12500</f>
        <v>58000</v>
      </c>
      <c r="K103" s="3"/>
      <c r="L103" s="3">
        <f>30000+250000+20000-J103</f>
        <v>242000</v>
      </c>
      <c r="M103" s="105"/>
      <c r="N103" s="70"/>
      <c r="O103" s="70"/>
      <c r="P103" s="3">
        <f t="shared" si="1"/>
        <v>242000</v>
      </c>
      <c r="Q103" s="25">
        <f t="shared" si="2"/>
        <v>0</v>
      </c>
      <c r="R103" s="1">
        <v>30000.0</v>
      </c>
      <c r="S103" s="1">
        <v>69000.0</v>
      </c>
      <c r="T103" s="1">
        <v>71500.0</v>
      </c>
      <c r="U103" s="1">
        <v>71500.0</v>
      </c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</row>
    <row r="104">
      <c r="A104" s="3"/>
      <c r="B104" s="3"/>
      <c r="C104" s="3"/>
      <c r="D104" s="1" t="s">
        <v>308</v>
      </c>
      <c r="E104" s="3"/>
      <c r="F104" s="1" t="s">
        <v>310</v>
      </c>
      <c r="G104" s="1" t="s">
        <v>115</v>
      </c>
      <c r="H104" s="1" t="s">
        <v>27</v>
      </c>
      <c r="I104" s="3"/>
      <c r="J104" s="3">
        <f>10000+5000+15000</f>
        <v>30000</v>
      </c>
      <c r="K104" s="3"/>
      <c r="L104" s="3">
        <f>25000+205000+35000-J104</f>
        <v>235000</v>
      </c>
      <c r="M104" s="70"/>
      <c r="N104" s="70"/>
      <c r="O104" s="70"/>
      <c r="P104" s="3">
        <f t="shared" si="1"/>
        <v>235000</v>
      </c>
      <c r="Q104" s="25">
        <f t="shared" si="2"/>
        <v>0</v>
      </c>
      <c r="R104" s="1">
        <v>25000.0</v>
      </c>
      <c r="S104" s="1">
        <v>50000.0</v>
      </c>
      <c r="T104" s="1">
        <v>80000.0</v>
      </c>
      <c r="U104" s="1">
        <v>80000.0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107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</row>
    <row r="105">
      <c r="A105" s="3"/>
      <c r="B105" s="3"/>
      <c r="C105" s="3"/>
      <c r="D105" s="1">
        <v>5.509379E8</v>
      </c>
      <c r="E105" s="3"/>
      <c r="F105" s="1" t="s">
        <v>311</v>
      </c>
      <c r="G105" s="1" t="s">
        <v>144</v>
      </c>
      <c r="H105" s="1" t="s">
        <v>56</v>
      </c>
      <c r="I105" s="3"/>
      <c r="J105" s="3"/>
      <c r="K105" s="3"/>
      <c r="L105" s="3">
        <f>25000+330000+43000-J105</f>
        <v>398000</v>
      </c>
      <c r="M105" s="70"/>
      <c r="N105" s="70"/>
      <c r="O105" s="70"/>
      <c r="P105" s="3">
        <f t="shared" si="1"/>
        <v>160000</v>
      </c>
      <c r="Q105" s="25">
        <f t="shared" si="2"/>
        <v>238000</v>
      </c>
      <c r="R105" s="1">
        <v>25000.0</v>
      </c>
      <c r="S105" s="3">
        <f>128000-13000</f>
        <v>115000</v>
      </c>
      <c r="T105" s="1"/>
      <c r="U105" s="1"/>
      <c r="V105" s="1" t="s">
        <v>10</v>
      </c>
      <c r="W105" s="1">
        <v>20000.0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</row>
    <row r="106">
      <c r="A106" s="3"/>
      <c r="B106" s="3"/>
      <c r="C106" s="3"/>
      <c r="D106" s="1">
        <v>6.63165036E8</v>
      </c>
      <c r="E106" s="3"/>
      <c r="F106" s="1" t="s">
        <v>312</v>
      </c>
      <c r="G106" s="1" t="s">
        <v>144</v>
      </c>
      <c r="H106" s="1" t="s">
        <v>52</v>
      </c>
      <c r="I106" s="1" t="s">
        <v>129</v>
      </c>
      <c r="J106" s="1">
        <f>32000+15000+10000</f>
        <v>57000</v>
      </c>
      <c r="K106" s="3"/>
      <c r="L106" s="3">
        <f>25000+55000+320000-J106</f>
        <v>343000</v>
      </c>
      <c r="M106" s="70"/>
      <c r="N106" s="70"/>
      <c r="O106" s="70"/>
      <c r="P106" s="3">
        <f t="shared" si="1"/>
        <v>343000</v>
      </c>
      <c r="Q106" s="25">
        <f t="shared" si="2"/>
        <v>0</v>
      </c>
      <c r="R106" s="1">
        <v>25000.0</v>
      </c>
      <c r="S106" s="1">
        <v>61000.0</v>
      </c>
      <c r="T106" s="1">
        <v>96000.0</v>
      </c>
      <c r="U106" s="1">
        <v>96000.0</v>
      </c>
      <c r="V106" s="1" t="s">
        <v>313</v>
      </c>
      <c r="W106" s="1">
        <v>30000.0</v>
      </c>
      <c r="X106" s="1">
        <v>20000.0</v>
      </c>
      <c r="Y106" s="1">
        <v>15000.0</v>
      </c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</row>
    <row r="107">
      <c r="A107" s="3"/>
      <c r="B107" s="3"/>
      <c r="C107" s="3"/>
      <c r="D107" s="1">
        <v>5.50143425E8</v>
      </c>
      <c r="E107" s="1" t="s">
        <v>166</v>
      </c>
      <c r="F107" s="1" t="s">
        <v>314</v>
      </c>
      <c r="G107" s="1" t="s">
        <v>115</v>
      </c>
      <c r="H107" s="1" t="s">
        <v>17</v>
      </c>
      <c r="I107" s="1"/>
      <c r="J107" s="1">
        <v>18000.0</v>
      </c>
      <c r="K107" s="3"/>
      <c r="L107" s="3">
        <f>25000+185000+35000-J107</f>
        <v>227000</v>
      </c>
      <c r="M107" s="70"/>
      <c r="N107" s="70"/>
      <c r="O107" s="70"/>
      <c r="P107" s="3">
        <f t="shared" si="1"/>
        <v>96000</v>
      </c>
      <c r="Q107" s="25">
        <f t="shared" si="2"/>
        <v>131000</v>
      </c>
      <c r="R107" s="1">
        <v>25000.0</v>
      </c>
      <c r="S107" s="3">
        <f>74000+15000-18000</f>
        <v>71000</v>
      </c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</row>
    <row r="108">
      <c r="A108" s="3"/>
      <c r="B108" s="3"/>
      <c r="C108" s="3"/>
      <c r="D108" s="1" t="s">
        <v>315</v>
      </c>
      <c r="E108" s="3"/>
      <c r="F108" s="1" t="s">
        <v>316</v>
      </c>
      <c r="G108" s="1" t="s">
        <v>115</v>
      </c>
      <c r="H108" s="1" t="s">
        <v>35</v>
      </c>
      <c r="I108" s="1"/>
      <c r="J108" s="1">
        <v>5000.0</v>
      </c>
      <c r="K108" s="3"/>
      <c r="L108" s="3">
        <f t="shared" ref="L108:L109" si="8">25000+205000+35000-J108</f>
        <v>260000</v>
      </c>
      <c r="M108" s="70"/>
      <c r="N108" s="70"/>
      <c r="O108" s="70"/>
      <c r="P108" s="3">
        <f t="shared" si="1"/>
        <v>117000</v>
      </c>
      <c r="Q108" s="25">
        <f t="shared" si="2"/>
        <v>143000</v>
      </c>
      <c r="R108" s="1">
        <v>25000.0</v>
      </c>
      <c r="S108" s="3">
        <f>82000+15000-J108</f>
        <v>92000</v>
      </c>
      <c r="T108" s="1"/>
      <c r="U108" s="1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</row>
    <row r="109">
      <c r="A109" s="3"/>
      <c r="B109" s="3"/>
      <c r="C109" s="3"/>
      <c r="D109" s="1">
        <v>6.61788697E8</v>
      </c>
      <c r="E109" s="3"/>
      <c r="F109" s="1" t="s">
        <v>317</v>
      </c>
      <c r="G109" s="1" t="s">
        <v>115</v>
      </c>
      <c r="H109" s="1" t="s">
        <v>27</v>
      </c>
      <c r="I109" s="3"/>
      <c r="J109" s="3">
        <f>5000+5000+20500</f>
        <v>30500</v>
      </c>
      <c r="K109" s="3"/>
      <c r="L109" s="3">
        <f t="shared" si="8"/>
        <v>234500</v>
      </c>
      <c r="M109" s="70"/>
      <c r="N109" s="70"/>
      <c r="O109" s="70"/>
      <c r="P109" s="3">
        <f t="shared" si="1"/>
        <v>168000</v>
      </c>
      <c r="Q109" s="25">
        <f t="shared" si="2"/>
        <v>66500</v>
      </c>
      <c r="R109" s="1">
        <v>25000.0</v>
      </c>
      <c r="S109" s="1"/>
      <c r="T109" s="1">
        <v>71500.0</v>
      </c>
      <c r="U109" s="1">
        <v>71500.0</v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</row>
    <row r="110">
      <c r="A110" s="1"/>
      <c r="B110" s="3"/>
      <c r="C110" s="3"/>
      <c r="D110" s="1" t="s">
        <v>318</v>
      </c>
      <c r="E110" s="1" t="s">
        <v>166</v>
      </c>
      <c r="F110" s="1" t="s">
        <v>319</v>
      </c>
      <c r="G110" s="1" t="s">
        <v>115</v>
      </c>
      <c r="H110" s="1" t="s">
        <v>13</v>
      </c>
      <c r="I110" s="1" t="s">
        <v>129</v>
      </c>
      <c r="J110" s="1"/>
      <c r="K110" s="3"/>
      <c r="L110" s="3">
        <f>25000+185000+400000-J110</f>
        <v>610000</v>
      </c>
      <c r="M110" s="70"/>
      <c r="N110" s="70"/>
      <c r="O110" s="70"/>
      <c r="P110" s="3">
        <f t="shared" si="1"/>
        <v>25000</v>
      </c>
      <c r="Q110" s="25">
        <f t="shared" si="2"/>
        <v>585000</v>
      </c>
      <c r="R110" s="1">
        <v>25000.0</v>
      </c>
      <c r="S110" s="1"/>
      <c r="T110" s="3"/>
      <c r="U110" s="3"/>
      <c r="V110" s="1" t="s">
        <v>5</v>
      </c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</row>
    <row r="111">
      <c r="A111" s="3"/>
      <c r="B111" s="3"/>
      <c r="C111" s="3"/>
      <c r="D111" s="1">
        <v>5.6019168E8</v>
      </c>
      <c r="E111" s="3"/>
      <c r="F111" s="1" t="s">
        <v>320</v>
      </c>
      <c r="G111" s="1" t="s">
        <v>144</v>
      </c>
      <c r="H111" s="1" t="s">
        <v>52</v>
      </c>
      <c r="I111" s="3"/>
      <c r="J111" s="1">
        <f>32000+10000</f>
        <v>42000</v>
      </c>
      <c r="K111" s="3"/>
      <c r="L111" s="3">
        <f>25000+320000-J111</f>
        <v>303000</v>
      </c>
      <c r="M111" s="70"/>
      <c r="N111" s="70"/>
      <c r="O111" s="70"/>
      <c r="P111" s="3">
        <f t="shared" si="1"/>
        <v>303000</v>
      </c>
      <c r="Q111" s="25">
        <f t="shared" si="2"/>
        <v>0</v>
      </c>
      <c r="R111" s="1">
        <v>25000.0</v>
      </c>
      <c r="S111" s="1">
        <v>80000.0</v>
      </c>
      <c r="T111" s="1">
        <v>99000.0</v>
      </c>
      <c r="U111" s="1">
        <v>99000.0</v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</row>
    <row r="112">
      <c r="A112" s="3"/>
      <c r="B112" s="3"/>
      <c r="C112" s="3"/>
      <c r="D112" s="1">
        <v>5.53461562E8</v>
      </c>
      <c r="E112" s="3"/>
      <c r="F112" s="1" t="s">
        <v>321</v>
      </c>
      <c r="G112" s="1" t="s">
        <v>115</v>
      </c>
      <c r="H112" s="1" t="s">
        <v>39</v>
      </c>
      <c r="I112" s="3"/>
      <c r="J112" s="3"/>
      <c r="K112" s="3"/>
      <c r="L112" s="3">
        <f>25000+230000-J112</f>
        <v>255000</v>
      </c>
      <c r="M112" s="70"/>
      <c r="N112" s="70"/>
      <c r="O112" s="70"/>
      <c r="P112" s="3">
        <f t="shared" si="1"/>
        <v>25000</v>
      </c>
      <c r="Q112" s="25">
        <f t="shared" si="2"/>
        <v>230000</v>
      </c>
      <c r="R112" s="1">
        <v>25000.0</v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</row>
    <row r="113">
      <c r="A113" s="3"/>
      <c r="B113" s="3"/>
      <c r="C113" s="3"/>
      <c r="D113" s="1">
        <v>5.5981687E8</v>
      </c>
      <c r="E113" s="1" t="s">
        <v>166</v>
      </c>
      <c r="F113" s="1" t="s">
        <v>322</v>
      </c>
      <c r="G113" s="1" t="s">
        <v>115</v>
      </c>
      <c r="H113" s="1" t="s">
        <v>17</v>
      </c>
      <c r="I113" s="1" t="s">
        <v>129</v>
      </c>
      <c r="J113" s="1">
        <v>18500.0</v>
      </c>
      <c r="K113" s="3"/>
      <c r="L113" s="3">
        <f>25000+185000+35000-J113+55000</f>
        <v>281500</v>
      </c>
      <c r="M113" s="70"/>
      <c r="N113" s="70"/>
      <c r="O113" s="70"/>
      <c r="P113" s="3">
        <f t="shared" si="1"/>
        <v>276500</v>
      </c>
      <c r="Q113" s="25">
        <f t="shared" si="2"/>
        <v>5000</v>
      </c>
      <c r="R113" s="1">
        <v>25000.0</v>
      </c>
      <c r="S113" s="1">
        <v>65500.0</v>
      </c>
      <c r="T113" s="1">
        <v>65500.0</v>
      </c>
      <c r="U113" s="1">
        <v>65500.0</v>
      </c>
      <c r="V113" s="1" t="s">
        <v>259</v>
      </c>
      <c r="W113" s="1">
        <v>30000.0</v>
      </c>
      <c r="X113" s="1">
        <v>15000.0</v>
      </c>
      <c r="Y113" s="1">
        <v>10000.0</v>
      </c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</row>
    <row r="114">
      <c r="A114" s="1" t="s">
        <v>323</v>
      </c>
      <c r="B114" s="3"/>
      <c r="C114" s="3"/>
      <c r="D114" s="105">
        <v>5.56489591E8</v>
      </c>
      <c r="E114" s="3"/>
      <c r="F114" s="1" t="s">
        <v>324</v>
      </c>
      <c r="G114" s="1" t="s">
        <v>115</v>
      </c>
      <c r="H114" s="1" t="s">
        <v>41</v>
      </c>
      <c r="I114" s="3"/>
      <c r="J114" s="3">
        <f>18000+5000</f>
        <v>23000</v>
      </c>
      <c r="K114" s="3"/>
      <c r="L114" s="3">
        <f>25000+230000+35000-J114</f>
        <v>267000</v>
      </c>
      <c r="M114" s="70"/>
      <c r="N114" s="70"/>
      <c r="O114" s="70"/>
      <c r="P114" s="3">
        <f t="shared" si="1"/>
        <v>93000</v>
      </c>
      <c r="Q114" s="25">
        <f t="shared" si="2"/>
        <v>174000</v>
      </c>
      <c r="R114" s="1">
        <v>25000.0</v>
      </c>
      <c r="S114" s="1">
        <v>68000.0</v>
      </c>
      <c r="T114" s="1"/>
      <c r="U114" s="1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</row>
    <row r="115">
      <c r="A115" s="3"/>
      <c r="B115" s="3"/>
      <c r="C115" s="3"/>
      <c r="D115" s="105">
        <v>5.56489591E8</v>
      </c>
      <c r="E115" s="3"/>
      <c r="F115" s="1" t="s">
        <v>325</v>
      </c>
      <c r="G115" s="1" t="s">
        <v>144</v>
      </c>
      <c r="H115" s="1" t="s">
        <v>58</v>
      </c>
      <c r="I115" s="1"/>
      <c r="J115" s="1">
        <f>5000+20000</f>
        <v>25000</v>
      </c>
      <c r="K115" s="3"/>
      <c r="L115" s="3">
        <f>30000+340000-J115</f>
        <v>345000</v>
      </c>
      <c r="M115" s="70"/>
      <c r="N115" s="70"/>
      <c r="O115" s="70"/>
      <c r="P115" s="3">
        <f t="shared" si="1"/>
        <v>141000</v>
      </c>
      <c r="Q115" s="25">
        <f t="shared" si="2"/>
        <v>204000</v>
      </c>
      <c r="R115" s="1">
        <v>30000.0</v>
      </c>
      <c r="S115" s="1">
        <f>136000-J115</f>
        <v>111000</v>
      </c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</row>
    <row r="116">
      <c r="A116" s="1"/>
      <c r="B116" s="3"/>
      <c r="C116" s="3"/>
      <c r="D116" s="122" t="s">
        <v>326</v>
      </c>
      <c r="E116" s="3"/>
      <c r="F116" s="1" t="s">
        <v>327</v>
      </c>
      <c r="G116" s="1" t="s">
        <v>171</v>
      </c>
      <c r="H116" s="1" t="s">
        <v>172</v>
      </c>
      <c r="I116" s="1" t="s">
        <v>129</v>
      </c>
      <c r="J116" s="1">
        <v>5000.0</v>
      </c>
      <c r="K116" s="3"/>
      <c r="L116" s="3">
        <f>30000+43000+365000-J116</f>
        <v>433000</v>
      </c>
      <c r="M116" s="70"/>
      <c r="N116" s="70"/>
      <c r="O116" s="70"/>
      <c r="P116" s="3">
        <f t="shared" si="1"/>
        <v>30000</v>
      </c>
      <c r="Q116" s="25">
        <f t="shared" si="2"/>
        <v>403000</v>
      </c>
      <c r="R116" s="1">
        <v>30000.0</v>
      </c>
      <c r="S116" s="3"/>
      <c r="T116" s="3"/>
      <c r="U116" s="3"/>
      <c r="V116" s="1" t="s">
        <v>10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107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</row>
    <row r="117">
      <c r="A117" s="3"/>
      <c r="B117" s="1"/>
      <c r="C117" s="3"/>
      <c r="D117" s="122" t="s">
        <v>328</v>
      </c>
      <c r="E117" s="3"/>
      <c r="F117" s="1" t="s">
        <v>329</v>
      </c>
      <c r="G117" s="1" t="s">
        <v>171</v>
      </c>
      <c r="H117" s="1" t="s">
        <v>226</v>
      </c>
      <c r="I117" s="1" t="s">
        <v>129</v>
      </c>
      <c r="J117" s="1">
        <v>5000.0</v>
      </c>
      <c r="K117" s="3"/>
      <c r="L117" s="3">
        <f>25000+350000-J117</f>
        <v>370000</v>
      </c>
      <c r="M117" s="70"/>
      <c r="N117" s="70"/>
      <c r="O117" s="70"/>
      <c r="P117" s="3">
        <f t="shared" si="1"/>
        <v>25000</v>
      </c>
      <c r="Q117" s="25">
        <f t="shared" si="2"/>
        <v>345000</v>
      </c>
      <c r="R117" s="1">
        <v>25000.0</v>
      </c>
      <c r="S117" s="1"/>
      <c r="T117" s="1"/>
      <c r="U117" s="1"/>
      <c r="V117" s="1" t="s">
        <v>10</v>
      </c>
      <c r="W117" s="1"/>
      <c r="X117" s="1"/>
      <c r="Y117" s="1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</row>
    <row r="118">
      <c r="A118" s="3"/>
      <c r="B118" s="3"/>
      <c r="C118" s="3"/>
      <c r="D118" s="122" t="s">
        <v>330</v>
      </c>
      <c r="E118" s="3"/>
      <c r="F118" s="1" t="s">
        <v>331</v>
      </c>
      <c r="G118" s="1" t="s">
        <v>115</v>
      </c>
      <c r="H118" s="1" t="s">
        <v>43</v>
      </c>
      <c r="I118" s="1" t="s">
        <v>129</v>
      </c>
      <c r="J118" s="1">
        <v>5000.0</v>
      </c>
      <c r="K118" s="3"/>
      <c r="L118" s="3">
        <f>30000+250000+43000-J118</f>
        <v>318000</v>
      </c>
      <c r="M118" s="70"/>
      <c r="N118" s="70"/>
      <c r="O118" s="70"/>
      <c r="P118" s="3">
        <f t="shared" si="1"/>
        <v>30000</v>
      </c>
      <c r="Q118" s="25">
        <f t="shared" si="2"/>
        <v>288000</v>
      </c>
      <c r="R118" s="1">
        <v>30000.0</v>
      </c>
      <c r="S118" s="1"/>
      <c r="T118" s="1"/>
      <c r="U118" s="1"/>
      <c r="V118" s="1" t="s">
        <v>10</v>
      </c>
      <c r="W118" s="1"/>
      <c r="X118" s="1"/>
      <c r="Y118" s="1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123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</row>
    <row r="119">
      <c r="A119" s="124"/>
      <c r="B119" s="3"/>
      <c r="C119" s="3"/>
      <c r="D119" s="122" t="s">
        <v>332</v>
      </c>
      <c r="E119" s="3"/>
      <c r="F119" s="1" t="s">
        <v>333</v>
      </c>
      <c r="G119" s="1" t="s">
        <v>115</v>
      </c>
      <c r="H119" s="1" t="s">
        <v>39</v>
      </c>
      <c r="I119" s="1" t="s">
        <v>129</v>
      </c>
      <c r="J119" s="1">
        <v>5000.0</v>
      </c>
      <c r="K119" s="3"/>
      <c r="L119" s="3">
        <f>25000+230000+43000-J119</f>
        <v>293000</v>
      </c>
      <c r="M119" s="70"/>
      <c r="N119" s="70"/>
      <c r="O119" s="70"/>
      <c r="P119" s="3">
        <f t="shared" si="1"/>
        <v>25000</v>
      </c>
      <c r="Q119" s="25">
        <f t="shared" si="2"/>
        <v>268000</v>
      </c>
      <c r="R119" s="1">
        <v>25000.0</v>
      </c>
      <c r="S119" s="1"/>
      <c r="T119" s="1"/>
      <c r="U119" s="1"/>
      <c r="V119" s="1" t="s">
        <v>10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</row>
    <row r="120">
      <c r="A120" s="3"/>
      <c r="B120" s="3"/>
      <c r="C120" s="3"/>
      <c r="D120" s="122" t="s">
        <v>334</v>
      </c>
      <c r="E120" s="3"/>
      <c r="F120" s="1" t="s">
        <v>335</v>
      </c>
      <c r="G120" s="1" t="s">
        <v>8</v>
      </c>
      <c r="H120" s="1" t="s">
        <v>8</v>
      </c>
      <c r="I120" s="1" t="s">
        <v>129</v>
      </c>
      <c r="J120" s="1">
        <v>5000.0</v>
      </c>
      <c r="K120" s="3"/>
      <c r="L120" s="3">
        <f>18000+165000+43000-J120</f>
        <v>221000</v>
      </c>
      <c r="M120" s="70"/>
      <c r="N120" s="105"/>
      <c r="O120" s="105"/>
      <c r="P120" s="3">
        <f t="shared" si="1"/>
        <v>18000</v>
      </c>
      <c r="Q120" s="25">
        <f t="shared" si="2"/>
        <v>203000</v>
      </c>
      <c r="R120" s="1">
        <v>18000.0</v>
      </c>
      <c r="S120" s="3"/>
      <c r="T120" s="3"/>
      <c r="U120" s="3"/>
      <c r="V120" s="1" t="s">
        <v>10</v>
      </c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</row>
    <row r="121">
      <c r="A121" s="3"/>
      <c r="B121" s="3"/>
      <c r="C121" s="3"/>
      <c r="D121" s="113">
        <v>5.56220809E8</v>
      </c>
      <c r="E121" s="3"/>
      <c r="F121" s="1" t="s">
        <v>336</v>
      </c>
      <c r="G121" s="1" t="s">
        <v>115</v>
      </c>
      <c r="H121" s="1" t="s">
        <v>35</v>
      </c>
      <c r="I121" s="1" t="s">
        <v>129</v>
      </c>
      <c r="J121" s="1"/>
      <c r="K121" s="3"/>
      <c r="L121" s="3">
        <f>25000+220000+35000+43000-J121</f>
        <v>323000</v>
      </c>
      <c r="M121" s="70"/>
      <c r="N121" s="70"/>
      <c r="O121" s="70"/>
      <c r="P121" s="3">
        <f t="shared" si="1"/>
        <v>100000</v>
      </c>
      <c r="Q121" s="25">
        <f t="shared" si="2"/>
        <v>223000</v>
      </c>
      <c r="R121" s="1">
        <v>25000.0</v>
      </c>
      <c r="S121" s="1">
        <v>75000.0</v>
      </c>
      <c r="T121" s="1"/>
      <c r="U121" s="1"/>
      <c r="V121" s="1" t="s">
        <v>10</v>
      </c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</row>
    <row r="122">
      <c r="A122" s="3"/>
      <c r="B122" s="3"/>
      <c r="C122" s="3"/>
      <c r="D122" s="105">
        <v>5.52297448E8</v>
      </c>
      <c r="E122" s="1" t="s">
        <v>166</v>
      </c>
      <c r="F122" s="1" t="s">
        <v>337</v>
      </c>
      <c r="G122" s="1" t="s">
        <v>115</v>
      </c>
      <c r="H122" s="1" t="s">
        <v>17</v>
      </c>
      <c r="I122" s="1"/>
      <c r="J122" s="1"/>
      <c r="K122" s="3"/>
      <c r="L122" s="3">
        <f>25000+185000+35000-J122</f>
        <v>245000</v>
      </c>
      <c r="M122" s="70"/>
      <c r="N122" s="70"/>
      <c r="O122" s="70"/>
      <c r="P122" s="3">
        <f t="shared" si="1"/>
        <v>25000</v>
      </c>
      <c r="Q122" s="25">
        <f t="shared" si="2"/>
        <v>220000</v>
      </c>
      <c r="R122" s="1">
        <v>25000.0</v>
      </c>
      <c r="S122" s="1"/>
      <c r="T122" s="1"/>
      <c r="U122" s="1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</row>
    <row r="123">
      <c r="A123" s="3"/>
      <c r="B123" s="3"/>
      <c r="C123" s="3"/>
      <c r="D123" s="105">
        <v>6.66915449E8</v>
      </c>
      <c r="E123" s="3"/>
      <c r="F123" s="1" t="s">
        <v>338</v>
      </c>
      <c r="G123" s="1" t="s">
        <v>144</v>
      </c>
      <c r="H123" s="1" t="s">
        <v>58</v>
      </c>
      <c r="I123" s="1" t="s">
        <v>129</v>
      </c>
      <c r="J123" s="3">
        <f>34000+20000</f>
        <v>54000</v>
      </c>
      <c r="K123" s="3"/>
      <c r="L123" s="3">
        <f>30000+340000+55000-J123</f>
        <v>371000</v>
      </c>
      <c r="M123" s="70"/>
      <c r="N123" s="70"/>
      <c r="O123" s="70"/>
      <c r="P123" s="3">
        <f t="shared" si="1"/>
        <v>371000</v>
      </c>
      <c r="Q123" s="25">
        <f t="shared" si="2"/>
        <v>0</v>
      </c>
      <c r="R123" s="1">
        <v>30000.0</v>
      </c>
      <c r="S123" s="1">
        <v>72000.0</v>
      </c>
      <c r="T123" s="1">
        <v>102000.0</v>
      </c>
      <c r="U123" s="1">
        <v>102000.0</v>
      </c>
      <c r="V123" s="1" t="s">
        <v>339</v>
      </c>
      <c r="W123" s="1">
        <v>30000.0</v>
      </c>
      <c r="X123" s="1">
        <v>20000.0</v>
      </c>
      <c r="Y123" s="1">
        <v>15000.0</v>
      </c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</row>
    <row r="124">
      <c r="A124" s="3"/>
      <c r="B124" s="3"/>
      <c r="C124" s="3"/>
      <c r="D124" s="105">
        <v>5.60202288E8</v>
      </c>
      <c r="E124" s="3"/>
      <c r="F124" s="1" t="s">
        <v>340</v>
      </c>
      <c r="G124" s="1" t="s">
        <v>144</v>
      </c>
      <c r="H124" s="1" t="s">
        <v>49</v>
      </c>
      <c r="I124" s="3"/>
      <c r="J124" s="1">
        <v>50000.0</v>
      </c>
      <c r="K124" s="3"/>
      <c r="L124" s="3">
        <f t="shared" ref="L124:L125" si="9">25000+305000-J124</f>
        <v>280000</v>
      </c>
      <c r="M124" s="70"/>
      <c r="N124" s="70"/>
      <c r="O124" s="70"/>
      <c r="P124" s="3">
        <f t="shared" si="1"/>
        <v>35000</v>
      </c>
      <c r="Q124" s="25">
        <f t="shared" si="2"/>
        <v>245000</v>
      </c>
      <c r="R124" s="1">
        <v>25000.0</v>
      </c>
      <c r="S124" s="1">
        <v>10000.0</v>
      </c>
      <c r="T124" s="1"/>
      <c r="U124" s="1"/>
      <c r="V124" s="1"/>
      <c r="W124" s="1"/>
      <c r="X124" s="1"/>
      <c r="Y124" s="1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</row>
    <row r="125">
      <c r="A125" s="3"/>
      <c r="B125" s="3"/>
      <c r="C125" s="3"/>
      <c r="D125" s="105">
        <v>5.60202288E8</v>
      </c>
      <c r="E125" s="3"/>
      <c r="F125" s="1" t="s">
        <v>341</v>
      </c>
      <c r="G125" s="1" t="s">
        <v>144</v>
      </c>
      <c r="H125" s="1" t="s">
        <v>49</v>
      </c>
      <c r="I125" s="3"/>
      <c r="J125" s="1">
        <v>50000.0</v>
      </c>
      <c r="K125" s="3"/>
      <c r="L125" s="3">
        <f t="shared" si="9"/>
        <v>280000</v>
      </c>
      <c r="M125" s="70"/>
      <c r="N125" s="70"/>
      <c r="O125" s="70"/>
      <c r="P125" s="3">
        <f t="shared" si="1"/>
        <v>35000</v>
      </c>
      <c r="Q125" s="25">
        <f t="shared" si="2"/>
        <v>245000</v>
      </c>
      <c r="R125" s="1">
        <v>25000.0</v>
      </c>
      <c r="S125" s="1">
        <v>10000.0</v>
      </c>
      <c r="T125" s="1"/>
      <c r="U125" s="1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</row>
    <row r="126">
      <c r="A126" s="3"/>
      <c r="B126" s="3"/>
      <c r="C126" s="3"/>
      <c r="D126" s="105">
        <v>5.60202288E8</v>
      </c>
      <c r="E126" s="3"/>
      <c r="F126" s="1" t="s">
        <v>342</v>
      </c>
      <c r="G126" s="1" t="s">
        <v>115</v>
      </c>
      <c r="H126" s="1" t="s">
        <v>17</v>
      </c>
      <c r="I126" s="3"/>
      <c r="J126" s="1">
        <v>66000.0</v>
      </c>
      <c r="K126" s="3"/>
      <c r="L126" s="3">
        <f>25000+185000+35000-J126</f>
        <v>179000</v>
      </c>
      <c r="M126" s="70"/>
      <c r="N126" s="70"/>
      <c r="O126" s="70"/>
      <c r="P126" s="3">
        <f t="shared" si="1"/>
        <v>30000</v>
      </c>
      <c r="Q126" s="25">
        <f t="shared" si="2"/>
        <v>149000</v>
      </c>
      <c r="R126" s="1">
        <v>25000.0</v>
      </c>
      <c r="S126" s="1">
        <v>5000.0</v>
      </c>
      <c r="T126" s="1"/>
      <c r="U126" s="1"/>
      <c r="V126" s="3"/>
      <c r="W126" s="1"/>
      <c r="X126" s="1"/>
      <c r="Y126" s="1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</row>
    <row r="127">
      <c r="A127" s="3"/>
      <c r="B127" s="3"/>
      <c r="C127" s="3"/>
      <c r="D127" s="1">
        <v>6.97940776E8</v>
      </c>
      <c r="E127" s="3"/>
      <c r="F127" s="1" t="s">
        <v>343</v>
      </c>
      <c r="G127" s="1" t="s">
        <v>171</v>
      </c>
      <c r="H127" s="1" t="s">
        <v>198</v>
      </c>
      <c r="I127" s="3"/>
      <c r="J127" s="1">
        <v>85000.0</v>
      </c>
      <c r="K127" s="3"/>
      <c r="L127" s="3">
        <f t="shared" ref="L127:L128" si="10">25000+355000-J127</f>
        <v>295000</v>
      </c>
      <c r="M127" s="70"/>
      <c r="N127" s="70"/>
      <c r="O127" s="70"/>
      <c r="P127" s="3">
        <f t="shared" si="1"/>
        <v>75000</v>
      </c>
      <c r="Q127" s="25">
        <f t="shared" si="2"/>
        <v>220000</v>
      </c>
      <c r="R127" s="1">
        <v>25000.0</v>
      </c>
      <c r="S127" s="1">
        <v>50000.0</v>
      </c>
      <c r="T127" s="1"/>
      <c r="U127" s="1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</row>
    <row r="128">
      <c r="A128" s="3"/>
      <c r="B128" s="3"/>
      <c r="C128" s="3"/>
      <c r="D128" s="1">
        <v>6.97940776E8</v>
      </c>
      <c r="E128" s="3"/>
      <c r="F128" s="1" t="s">
        <v>344</v>
      </c>
      <c r="G128" s="1" t="s">
        <v>171</v>
      </c>
      <c r="H128" s="1" t="s">
        <v>198</v>
      </c>
      <c r="I128" s="3"/>
      <c r="J128" s="1">
        <v>80000.0</v>
      </c>
      <c r="K128" s="3"/>
      <c r="L128" s="3">
        <f t="shared" si="10"/>
        <v>300000</v>
      </c>
      <c r="M128" s="70"/>
      <c r="N128" s="70"/>
      <c r="O128" s="70"/>
      <c r="P128" s="3">
        <f t="shared" si="1"/>
        <v>70000</v>
      </c>
      <c r="Q128" s="25">
        <f t="shared" si="2"/>
        <v>230000</v>
      </c>
      <c r="R128" s="1">
        <v>25000.0</v>
      </c>
      <c r="S128" s="1">
        <v>45000.0</v>
      </c>
      <c r="T128" s="1"/>
      <c r="U128" s="1"/>
      <c r="V128" s="3"/>
      <c r="W128" s="3"/>
      <c r="X128" s="1"/>
      <c r="Y128" s="1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</row>
    <row r="129">
      <c r="A129" s="3"/>
      <c r="B129" s="3"/>
      <c r="C129" s="3"/>
      <c r="D129" s="1">
        <v>7.70755658E8</v>
      </c>
      <c r="E129" s="3"/>
      <c r="F129" s="1" t="s">
        <v>345</v>
      </c>
      <c r="G129" s="1" t="s">
        <v>115</v>
      </c>
      <c r="H129" s="1" t="s">
        <v>27</v>
      </c>
      <c r="I129" s="1"/>
      <c r="J129" s="3">
        <f>5000+5000+20500</f>
        <v>30500</v>
      </c>
      <c r="K129" s="3"/>
      <c r="L129" s="3">
        <f>25000+205000+35000-J129</f>
        <v>234500</v>
      </c>
      <c r="M129" s="3"/>
      <c r="N129" s="105">
        <v>7000.0</v>
      </c>
      <c r="O129" s="3"/>
      <c r="P129" s="3">
        <f t="shared" si="1"/>
        <v>234500</v>
      </c>
      <c r="Q129" s="25">
        <f t="shared" si="2"/>
        <v>0</v>
      </c>
      <c r="R129" s="1">
        <v>25000.0</v>
      </c>
      <c r="S129" s="1">
        <v>66500.0</v>
      </c>
      <c r="T129" s="1">
        <v>71500.0</v>
      </c>
      <c r="U129" s="1">
        <v>71500.0</v>
      </c>
      <c r="V129" s="3"/>
      <c r="W129" s="1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</row>
    <row r="130">
      <c r="A130" s="3"/>
      <c r="B130" s="3"/>
      <c r="C130" s="3"/>
      <c r="D130" s="1">
        <v>7.70755658E8</v>
      </c>
      <c r="E130" s="3"/>
      <c r="F130" s="1" t="s">
        <v>346</v>
      </c>
      <c r="G130" s="1" t="s">
        <v>115</v>
      </c>
      <c r="H130" s="1" t="s">
        <v>41</v>
      </c>
      <c r="I130" s="3"/>
      <c r="J130" s="1">
        <f>18000+5000+23000</f>
        <v>46000</v>
      </c>
      <c r="K130" s="3"/>
      <c r="L130" s="3">
        <f>25000+230000+35000-J130</f>
        <v>244000</v>
      </c>
      <c r="M130" s="3"/>
      <c r="N130" s="70"/>
      <c r="O130" s="3"/>
      <c r="P130" s="3">
        <f t="shared" si="1"/>
        <v>244000</v>
      </c>
      <c r="Q130" s="25">
        <f t="shared" si="2"/>
        <v>0</v>
      </c>
      <c r="R130" s="1">
        <v>25000.0</v>
      </c>
      <c r="S130" s="1">
        <v>61000.0</v>
      </c>
      <c r="T130" s="1">
        <v>79000.0</v>
      </c>
      <c r="U130" s="1">
        <v>79000.0</v>
      </c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</row>
    <row r="131">
      <c r="A131" s="1"/>
      <c r="B131" s="3"/>
      <c r="C131" s="3"/>
      <c r="D131" s="1">
        <v>5.5064985E8</v>
      </c>
      <c r="E131" s="3"/>
      <c r="F131" s="1" t="s">
        <v>347</v>
      </c>
      <c r="G131" s="1" t="s">
        <v>115</v>
      </c>
      <c r="H131" s="1" t="s">
        <v>17</v>
      </c>
      <c r="I131" s="3"/>
      <c r="J131" s="3">
        <f>10000+8000+3000</f>
        <v>21000</v>
      </c>
      <c r="K131" s="3"/>
      <c r="L131" s="3">
        <f>25000+185000+35000-J131</f>
        <v>224000</v>
      </c>
      <c r="M131" s="1"/>
      <c r="N131" s="70"/>
      <c r="O131" s="3"/>
      <c r="P131" s="3">
        <f t="shared" si="1"/>
        <v>93000</v>
      </c>
      <c r="Q131" s="25">
        <f t="shared" si="2"/>
        <v>131000</v>
      </c>
      <c r="R131" s="1">
        <v>25000.0</v>
      </c>
      <c r="S131" s="1">
        <f>74000+15000-J131</f>
        <v>68000</v>
      </c>
      <c r="T131" s="1"/>
      <c r="U131" s="1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</row>
    <row r="132">
      <c r="A132" s="3"/>
      <c r="B132" s="3"/>
      <c r="C132" s="3"/>
      <c r="D132" s="1">
        <v>5.5064985E8</v>
      </c>
      <c r="E132" s="1" t="s">
        <v>166</v>
      </c>
      <c r="F132" s="1" t="s">
        <v>348</v>
      </c>
      <c r="G132" s="1" t="s">
        <v>3</v>
      </c>
      <c r="H132" s="1" t="s">
        <v>3</v>
      </c>
      <c r="I132" s="3"/>
      <c r="J132" s="1">
        <v>5000.0</v>
      </c>
      <c r="K132" s="3"/>
      <c r="L132" s="3">
        <f>18000+135000-J132</f>
        <v>148000</v>
      </c>
      <c r="M132" s="3"/>
      <c r="N132" s="70"/>
      <c r="O132" s="3"/>
      <c r="P132" s="3">
        <f t="shared" si="1"/>
        <v>67000</v>
      </c>
      <c r="Q132" s="25">
        <f t="shared" si="2"/>
        <v>81000</v>
      </c>
      <c r="R132" s="1">
        <v>18000.0</v>
      </c>
      <c r="S132" s="3">
        <f>54000-5000</f>
        <v>49000</v>
      </c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</row>
    <row r="133">
      <c r="A133" s="3"/>
      <c r="B133" s="3"/>
      <c r="C133" s="3"/>
      <c r="D133" s="1" t="s">
        <v>349</v>
      </c>
      <c r="E133" s="3"/>
      <c r="F133" s="1" t="s">
        <v>350</v>
      </c>
      <c r="G133" s="1" t="s">
        <v>144</v>
      </c>
      <c r="H133" s="1" t="s">
        <v>58</v>
      </c>
      <c r="I133" s="1" t="s">
        <v>129</v>
      </c>
      <c r="J133" s="3">
        <f>34000+5000+20000</f>
        <v>59000</v>
      </c>
      <c r="K133" s="3"/>
      <c r="L133" s="3">
        <f>30000+340000+40000-J133</f>
        <v>351000</v>
      </c>
      <c r="M133" s="3"/>
      <c r="N133" s="70"/>
      <c r="O133" s="3"/>
      <c r="P133" s="3">
        <f t="shared" si="1"/>
        <v>351000</v>
      </c>
      <c r="Q133" s="25">
        <f t="shared" si="2"/>
        <v>0</v>
      </c>
      <c r="R133" s="1">
        <v>30000.0</v>
      </c>
      <c r="S133" s="1">
        <v>77000.0</v>
      </c>
      <c r="T133" s="1">
        <v>102000.0</v>
      </c>
      <c r="U133" s="1">
        <v>102000.0</v>
      </c>
      <c r="V133" s="1" t="s">
        <v>351</v>
      </c>
      <c r="W133" s="1">
        <v>20000.0</v>
      </c>
      <c r="X133" s="1">
        <v>10000.0</v>
      </c>
      <c r="Y133" s="1">
        <v>10000.0</v>
      </c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</row>
    <row r="134">
      <c r="A134" s="3"/>
      <c r="B134" s="3"/>
      <c r="C134" s="3"/>
      <c r="D134" s="1" t="s">
        <v>349</v>
      </c>
      <c r="E134" s="3"/>
      <c r="F134" s="1" t="s">
        <v>352</v>
      </c>
      <c r="G134" s="1" t="s">
        <v>115</v>
      </c>
      <c r="H134" s="1" t="s">
        <v>41</v>
      </c>
      <c r="I134" s="1" t="s">
        <v>129</v>
      </c>
      <c r="J134" s="3">
        <f>5000+23000+18000</f>
        <v>46000</v>
      </c>
      <c r="K134" s="3"/>
      <c r="L134" s="3">
        <f>25000+230000+35000+40000-J134</f>
        <v>284000</v>
      </c>
      <c r="M134" s="3"/>
      <c r="N134" s="70"/>
      <c r="O134" s="3"/>
      <c r="P134" s="3">
        <f t="shared" si="1"/>
        <v>284000</v>
      </c>
      <c r="Q134" s="25">
        <f t="shared" si="2"/>
        <v>0</v>
      </c>
      <c r="R134" s="1">
        <v>25000.0</v>
      </c>
      <c r="S134" s="1">
        <v>61000.0</v>
      </c>
      <c r="T134" s="1">
        <v>79000.0</v>
      </c>
      <c r="U134" s="1">
        <v>79000.0</v>
      </c>
      <c r="V134" s="1" t="s">
        <v>5</v>
      </c>
      <c r="W134" s="1">
        <v>20000.0</v>
      </c>
      <c r="X134" s="1">
        <v>10000.0</v>
      </c>
      <c r="Y134" s="1">
        <v>10000.0</v>
      </c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</row>
    <row r="135">
      <c r="A135" s="3"/>
      <c r="B135" s="3"/>
      <c r="C135" s="3"/>
      <c r="D135" s="1">
        <v>7.70444768E8</v>
      </c>
      <c r="E135" s="1" t="s">
        <v>166</v>
      </c>
      <c r="F135" s="1" t="s">
        <v>353</v>
      </c>
      <c r="G135" s="1" t="s">
        <v>115</v>
      </c>
      <c r="H135" s="1" t="s">
        <v>17</v>
      </c>
      <c r="I135" s="3"/>
      <c r="J135" s="1"/>
      <c r="K135" s="3"/>
      <c r="L135" s="3">
        <f>25000+185000+35000-J135</f>
        <v>245000</v>
      </c>
      <c r="M135" s="3"/>
      <c r="N135" s="70"/>
      <c r="O135" s="3"/>
      <c r="P135" s="3">
        <f t="shared" si="1"/>
        <v>25000</v>
      </c>
      <c r="Q135" s="25">
        <f t="shared" si="2"/>
        <v>220000</v>
      </c>
      <c r="R135" s="1">
        <v>25000.0</v>
      </c>
      <c r="S135" s="1"/>
      <c r="T135" s="1"/>
      <c r="U135" s="1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</row>
    <row r="136">
      <c r="A136" s="3"/>
      <c r="B136" s="3"/>
      <c r="C136" s="3"/>
      <c r="D136" s="1">
        <v>5.41076579E8</v>
      </c>
      <c r="E136" s="3"/>
      <c r="F136" s="1" t="s">
        <v>354</v>
      </c>
      <c r="G136" s="1" t="s">
        <v>115</v>
      </c>
      <c r="H136" s="1" t="s">
        <v>35</v>
      </c>
      <c r="I136" s="3"/>
      <c r="J136" s="1">
        <f>5000+13000+22000</f>
        <v>40000</v>
      </c>
      <c r="K136" s="3"/>
      <c r="L136" s="3">
        <f>25000+220000+35000-J136</f>
        <v>240000</v>
      </c>
      <c r="M136" s="3"/>
      <c r="N136" s="70"/>
      <c r="O136" s="3"/>
      <c r="P136" s="3">
        <f t="shared" si="1"/>
        <v>240000</v>
      </c>
      <c r="Q136" s="25">
        <f t="shared" si="2"/>
        <v>0</v>
      </c>
      <c r="R136" s="1">
        <v>25000.0</v>
      </c>
      <c r="S136" s="1">
        <v>63000.0</v>
      </c>
      <c r="T136" s="1">
        <v>76000.0</v>
      </c>
      <c r="U136" s="1">
        <v>76000.0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</row>
    <row r="137">
      <c r="A137" s="3"/>
      <c r="B137" s="3"/>
      <c r="C137" s="3"/>
      <c r="D137" s="1">
        <v>5.41076579E8</v>
      </c>
      <c r="E137" s="3"/>
      <c r="F137" s="1" t="s">
        <v>355</v>
      </c>
      <c r="G137" s="1" t="s">
        <v>144</v>
      </c>
      <c r="H137" s="1" t="s">
        <v>56</v>
      </c>
      <c r="I137" s="3"/>
      <c r="J137" s="3">
        <f>5000+13000+33000</f>
        <v>51000</v>
      </c>
      <c r="K137" s="3"/>
      <c r="L137" s="3">
        <f>25000+330000-J137</f>
        <v>304000</v>
      </c>
      <c r="M137" s="3"/>
      <c r="N137" s="70"/>
      <c r="O137" s="3"/>
      <c r="P137" s="3">
        <f t="shared" si="1"/>
        <v>304000</v>
      </c>
      <c r="Q137" s="25">
        <f t="shared" si="2"/>
        <v>0</v>
      </c>
      <c r="R137" s="1">
        <v>25000.0</v>
      </c>
      <c r="S137" s="1">
        <v>81000.0</v>
      </c>
      <c r="T137" s="1">
        <v>99000.0</v>
      </c>
      <c r="U137" s="1">
        <v>99000.0</v>
      </c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</row>
    <row r="138">
      <c r="A138" s="3"/>
      <c r="B138" s="3"/>
      <c r="C138" s="3"/>
      <c r="D138" s="1">
        <v>5.41076579E8</v>
      </c>
      <c r="E138" s="3"/>
      <c r="F138" s="1" t="s">
        <v>356</v>
      </c>
      <c r="G138" s="1" t="s">
        <v>357</v>
      </c>
      <c r="H138" s="1" t="s">
        <v>226</v>
      </c>
      <c r="I138" s="3"/>
      <c r="J138" s="1">
        <f>10000+5000+35000+15000</f>
        <v>65000</v>
      </c>
      <c r="K138" s="3"/>
      <c r="L138" s="3">
        <f>25000+350000-J138</f>
        <v>310000</v>
      </c>
      <c r="M138" s="3"/>
      <c r="N138" s="70"/>
      <c r="O138" s="3"/>
      <c r="P138" s="3">
        <f t="shared" si="1"/>
        <v>310000</v>
      </c>
      <c r="Q138" s="25">
        <f t="shared" si="2"/>
        <v>0</v>
      </c>
      <c r="R138" s="1">
        <v>25000.0</v>
      </c>
      <c r="S138" s="1">
        <v>75000.0</v>
      </c>
      <c r="T138" s="1">
        <v>105000.0</v>
      </c>
      <c r="U138" s="1">
        <v>105000.0</v>
      </c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</row>
    <row r="139">
      <c r="A139" s="3"/>
      <c r="B139" s="3"/>
      <c r="C139" s="3"/>
      <c r="D139" s="1">
        <v>5.54089107E8</v>
      </c>
      <c r="E139" s="3"/>
      <c r="F139" s="1" t="s">
        <v>358</v>
      </c>
      <c r="G139" s="1" t="s">
        <v>115</v>
      </c>
      <c r="H139" s="1" t="s">
        <v>46</v>
      </c>
      <c r="I139" s="1" t="s">
        <v>129</v>
      </c>
      <c r="J139" s="1">
        <v>5000.0</v>
      </c>
      <c r="K139" s="3"/>
      <c r="L139" s="3">
        <f>30000+250000+20000+55000-J139</f>
        <v>350000</v>
      </c>
      <c r="M139" s="3"/>
      <c r="N139" s="70"/>
      <c r="O139" s="3"/>
      <c r="P139" s="3">
        <f t="shared" si="1"/>
        <v>50000</v>
      </c>
      <c r="Q139" s="25">
        <f t="shared" si="2"/>
        <v>300000</v>
      </c>
      <c r="R139" s="1">
        <v>30000.0</v>
      </c>
      <c r="S139" s="1">
        <v>20000.0</v>
      </c>
      <c r="T139" s="1"/>
      <c r="U139" s="1"/>
      <c r="V139" s="1" t="s">
        <v>259</v>
      </c>
      <c r="W139" s="3"/>
      <c r="X139" s="1"/>
      <c r="Y139" s="1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</row>
    <row r="140">
      <c r="A140" s="3"/>
      <c r="B140" s="3"/>
      <c r="C140" s="3"/>
      <c r="D140" s="1">
        <v>5.54089107E8</v>
      </c>
      <c r="E140" s="3"/>
      <c r="F140" s="1" t="s">
        <v>359</v>
      </c>
      <c r="G140" s="1" t="s">
        <v>144</v>
      </c>
      <c r="H140" s="1" t="s">
        <v>52</v>
      </c>
      <c r="I140" s="1" t="s">
        <v>129</v>
      </c>
      <c r="J140" s="1">
        <v>5000.0</v>
      </c>
      <c r="K140" s="3"/>
      <c r="L140" s="3">
        <f>25000+320000+55000-J140</f>
        <v>395000</v>
      </c>
      <c r="M140" s="3"/>
      <c r="N140" s="70"/>
      <c r="O140" s="3"/>
      <c r="P140" s="3">
        <f t="shared" si="1"/>
        <v>50000</v>
      </c>
      <c r="Q140" s="25">
        <f t="shared" si="2"/>
        <v>345000</v>
      </c>
      <c r="R140" s="1">
        <v>25000.0</v>
      </c>
      <c r="S140" s="1">
        <v>25000.0</v>
      </c>
      <c r="T140" s="3"/>
      <c r="U140" s="3"/>
      <c r="V140" s="1" t="s">
        <v>259</v>
      </c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</row>
    <row r="141">
      <c r="A141" s="3"/>
      <c r="B141" s="3"/>
      <c r="C141" s="3"/>
      <c r="D141" s="1">
        <v>5.40371546E8</v>
      </c>
      <c r="E141" s="1" t="s">
        <v>166</v>
      </c>
      <c r="F141" s="1" t="s">
        <v>360</v>
      </c>
      <c r="G141" s="1" t="s">
        <v>8</v>
      </c>
      <c r="H141" s="1" t="s">
        <v>8</v>
      </c>
      <c r="I141" s="3"/>
      <c r="J141" s="1">
        <v>5000.0</v>
      </c>
      <c r="K141" s="3"/>
      <c r="L141" s="3">
        <f>18000+165000-J141</f>
        <v>178000</v>
      </c>
      <c r="M141" s="3"/>
      <c r="N141" s="70"/>
      <c r="O141" s="3"/>
      <c r="P141" s="3">
        <f t="shared" si="1"/>
        <v>18000</v>
      </c>
      <c r="Q141" s="25">
        <f t="shared" si="2"/>
        <v>160000</v>
      </c>
      <c r="R141" s="1">
        <v>18000.0</v>
      </c>
      <c r="S141" s="3"/>
      <c r="T141" s="1"/>
      <c r="U141" s="1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</row>
    <row r="142">
      <c r="A142" s="3"/>
      <c r="B142" s="3"/>
      <c r="C142" s="3"/>
      <c r="D142" s="1">
        <v>7.99713434E8</v>
      </c>
      <c r="E142" s="1" t="s">
        <v>166</v>
      </c>
      <c r="F142" s="1" t="s">
        <v>361</v>
      </c>
      <c r="G142" s="1" t="s">
        <v>115</v>
      </c>
      <c r="H142" s="1" t="s">
        <v>17</v>
      </c>
      <c r="I142" s="1"/>
      <c r="J142" s="1">
        <v>18000.0</v>
      </c>
      <c r="K142" s="3"/>
      <c r="L142" s="3">
        <f>25000+185000+35000-J142</f>
        <v>227000</v>
      </c>
      <c r="M142" s="3"/>
      <c r="N142" s="70"/>
      <c r="O142" s="3"/>
      <c r="P142" s="3">
        <f t="shared" si="1"/>
        <v>96000</v>
      </c>
      <c r="Q142" s="25">
        <f t="shared" si="2"/>
        <v>131000</v>
      </c>
      <c r="R142" s="1">
        <v>25000.0</v>
      </c>
      <c r="S142" s="1">
        <f>74000+15000-18000</f>
        <v>71000</v>
      </c>
      <c r="T142" s="1"/>
      <c r="U142" s="1"/>
      <c r="V142" s="3"/>
      <c r="W142" s="3"/>
      <c r="X142" s="1"/>
      <c r="Y142" s="1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</row>
    <row r="143">
      <c r="A143" s="1"/>
      <c r="B143" s="3"/>
      <c r="C143" s="3"/>
      <c r="D143" s="1">
        <v>7.71235264E8</v>
      </c>
      <c r="E143" s="3"/>
      <c r="F143" s="1" t="s">
        <v>362</v>
      </c>
      <c r="G143" s="1" t="s">
        <v>144</v>
      </c>
      <c r="H143" s="1" t="s">
        <v>58</v>
      </c>
      <c r="I143" s="1"/>
      <c r="J143" s="1">
        <v>71000.0</v>
      </c>
      <c r="K143" s="3"/>
      <c r="L143" s="3">
        <f>30000+340000-J143</f>
        <v>299000</v>
      </c>
      <c r="M143" s="3"/>
      <c r="N143" s="70"/>
      <c r="O143" s="3"/>
      <c r="P143" s="3">
        <f t="shared" si="1"/>
        <v>299000</v>
      </c>
      <c r="Q143" s="25">
        <f t="shared" si="2"/>
        <v>0</v>
      </c>
      <c r="R143" s="1">
        <v>30000.0</v>
      </c>
      <c r="S143" s="1">
        <v>65000.0</v>
      </c>
      <c r="T143" s="1">
        <v>102000.0</v>
      </c>
      <c r="U143" s="1">
        <v>102000.0</v>
      </c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</row>
    <row r="144">
      <c r="A144" s="3"/>
      <c r="B144" s="3"/>
      <c r="C144" s="3"/>
      <c r="D144" s="1">
        <v>6.7010674E8</v>
      </c>
      <c r="E144" s="3"/>
      <c r="F144" s="1" t="s">
        <v>363</v>
      </c>
      <c r="G144" s="1" t="s">
        <v>115</v>
      </c>
      <c r="H144" s="1" t="s">
        <v>35</v>
      </c>
      <c r="I144" s="1"/>
      <c r="J144" s="1"/>
      <c r="K144" s="3"/>
      <c r="L144" s="3">
        <f t="shared" ref="L144:L145" si="11">25000+220000+35000-J144</f>
        <v>280000</v>
      </c>
      <c r="M144" s="3"/>
      <c r="N144" s="70"/>
      <c r="O144" s="3"/>
      <c r="P144" s="3">
        <f t="shared" si="1"/>
        <v>50000</v>
      </c>
      <c r="Q144" s="25">
        <f t="shared" si="2"/>
        <v>230000</v>
      </c>
      <c r="R144" s="1">
        <v>25000.0</v>
      </c>
      <c r="S144" s="1">
        <v>25000.0</v>
      </c>
      <c r="T144" s="3"/>
      <c r="U144" s="1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</row>
    <row r="145">
      <c r="A145" s="1" t="s">
        <v>364</v>
      </c>
      <c r="B145" s="3"/>
      <c r="C145" s="3"/>
      <c r="D145" s="1">
        <v>5.42181649E8</v>
      </c>
      <c r="E145" s="3"/>
      <c r="F145" s="1" t="s">
        <v>365</v>
      </c>
      <c r="G145" s="1" t="s">
        <v>115</v>
      </c>
      <c r="H145" s="1" t="s">
        <v>35</v>
      </c>
      <c r="I145" s="3"/>
      <c r="J145" s="1"/>
      <c r="K145" s="3"/>
      <c r="L145" s="3">
        <f t="shared" si="11"/>
        <v>280000</v>
      </c>
      <c r="M145" s="3"/>
      <c r="N145" s="105"/>
      <c r="O145" s="1"/>
      <c r="P145" s="3">
        <f t="shared" si="1"/>
        <v>25000</v>
      </c>
      <c r="Q145" s="25">
        <f t="shared" si="2"/>
        <v>255000</v>
      </c>
      <c r="R145" s="1">
        <v>25000.0</v>
      </c>
      <c r="S145" s="1"/>
      <c r="T145" s="1"/>
      <c r="U145" s="1"/>
      <c r="V145" s="3"/>
      <c r="W145" s="3"/>
      <c r="X145" s="1"/>
      <c r="Y145" s="1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</row>
    <row r="146">
      <c r="A146" s="3"/>
      <c r="B146" s="3"/>
      <c r="C146" s="3"/>
      <c r="D146" s="1">
        <v>5.52990331E8</v>
      </c>
      <c r="E146" s="3"/>
      <c r="F146" s="1" t="s">
        <v>366</v>
      </c>
      <c r="G146" s="1" t="s">
        <v>144</v>
      </c>
      <c r="H146" s="1" t="s">
        <v>52</v>
      </c>
      <c r="I146" s="1"/>
      <c r="J146" s="1"/>
      <c r="K146" s="3"/>
      <c r="L146" s="3">
        <f>25000+320000-J146</f>
        <v>345000</v>
      </c>
      <c r="M146" s="3"/>
      <c r="N146" s="70"/>
      <c r="O146" s="3"/>
      <c r="P146" s="3">
        <f t="shared" si="1"/>
        <v>25000</v>
      </c>
      <c r="Q146" s="25">
        <f t="shared" si="2"/>
        <v>320000</v>
      </c>
      <c r="R146" s="1">
        <v>25000.0</v>
      </c>
      <c r="S146" s="3"/>
      <c r="T146" s="3"/>
      <c r="U146" s="1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</row>
    <row r="147">
      <c r="A147" s="3"/>
      <c r="B147" s="3"/>
      <c r="C147" s="3"/>
      <c r="D147" s="1">
        <v>7.78442394E8</v>
      </c>
      <c r="E147" s="3"/>
      <c r="F147" s="1" t="s">
        <v>367</v>
      </c>
      <c r="G147" s="1" t="s">
        <v>115</v>
      </c>
      <c r="H147" s="1" t="s">
        <v>35</v>
      </c>
      <c r="I147" s="1" t="s">
        <v>129</v>
      </c>
      <c r="J147" s="3"/>
      <c r="K147" s="3"/>
      <c r="L147" s="3">
        <f>25000+220000+35000+52000-J147</f>
        <v>332000</v>
      </c>
      <c r="M147" s="3"/>
      <c r="N147" s="70"/>
      <c r="O147" s="3"/>
      <c r="P147" s="3">
        <f t="shared" si="1"/>
        <v>25000</v>
      </c>
      <c r="Q147" s="25">
        <f t="shared" si="2"/>
        <v>307000</v>
      </c>
      <c r="R147" s="1">
        <v>25000.0</v>
      </c>
      <c r="S147" s="3"/>
      <c r="T147" s="1"/>
      <c r="U147" s="1"/>
      <c r="V147" s="1" t="s">
        <v>268</v>
      </c>
      <c r="W147" s="3"/>
      <c r="X147" s="1"/>
      <c r="Y147" s="1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</row>
    <row r="148">
      <c r="A148" s="3"/>
      <c r="B148" s="3"/>
      <c r="C148" s="3"/>
      <c r="D148" s="1">
        <v>6.74593137E8</v>
      </c>
      <c r="E148" s="3"/>
      <c r="F148" s="1" t="s">
        <v>368</v>
      </c>
      <c r="G148" s="1" t="s">
        <v>115</v>
      </c>
      <c r="H148" s="1" t="s">
        <v>27</v>
      </c>
      <c r="I148" s="3"/>
      <c r="J148" s="1">
        <v>5000.0</v>
      </c>
      <c r="K148" s="3"/>
      <c r="L148" s="3">
        <f>25000+205000+35000-J148</f>
        <v>260000</v>
      </c>
      <c r="M148" s="3"/>
      <c r="N148" s="70"/>
      <c r="O148" s="3"/>
      <c r="P148" s="3">
        <f t="shared" si="1"/>
        <v>117000</v>
      </c>
      <c r="Q148" s="25">
        <f t="shared" si="2"/>
        <v>143000</v>
      </c>
      <c r="R148" s="1">
        <v>25000.0</v>
      </c>
      <c r="S148" s="3">
        <f>82000+15000-5000</f>
        <v>92000</v>
      </c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</row>
    <row r="149">
      <c r="A149" s="3"/>
      <c r="B149" s="3"/>
      <c r="C149" s="3"/>
      <c r="D149" s="1">
        <v>5.55616851E8</v>
      </c>
      <c r="E149" s="3"/>
      <c r="F149" s="1" t="s">
        <v>369</v>
      </c>
      <c r="G149" s="1" t="s">
        <v>370</v>
      </c>
      <c r="H149" s="1" t="s">
        <v>370</v>
      </c>
      <c r="I149" s="3"/>
      <c r="J149" s="1"/>
      <c r="K149" s="3"/>
      <c r="L149" s="3">
        <f>23000+40000+220000-J149</f>
        <v>283000</v>
      </c>
      <c r="M149" s="3"/>
      <c r="N149" s="70"/>
      <c r="O149" s="3"/>
      <c r="P149" s="3">
        <f t="shared" si="1"/>
        <v>23000</v>
      </c>
      <c r="Q149" s="25">
        <f t="shared" si="2"/>
        <v>260000</v>
      </c>
      <c r="R149" s="1">
        <v>23000.0</v>
      </c>
      <c r="S149" s="1"/>
      <c r="T149" s="1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</row>
    <row r="150">
      <c r="A150" s="3"/>
      <c r="B150" s="3"/>
      <c r="C150" s="3"/>
      <c r="D150" s="125"/>
      <c r="E150" s="3"/>
      <c r="F150" s="1" t="s">
        <v>371</v>
      </c>
      <c r="G150" s="1" t="s">
        <v>115</v>
      </c>
      <c r="H150" s="1" t="s">
        <v>46</v>
      </c>
      <c r="I150" s="3"/>
      <c r="J150" s="1">
        <f>25000+15000</f>
        <v>40000</v>
      </c>
      <c r="K150" s="3"/>
      <c r="L150" s="3">
        <f>30000+250000+20000-J150</f>
        <v>260000</v>
      </c>
      <c r="M150" s="3"/>
      <c r="N150" s="70"/>
      <c r="O150" s="3"/>
      <c r="P150" s="3">
        <f t="shared" si="1"/>
        <v>260000</v>
      </c>
      <c r="Q150" s="25">
        <f t="shared" si="2"/>
        <v>0</v>
      </c>
      <c r="R150" s="1">
        <v>30000.0</v>
      </c>
      <c r="S150" s="1">
        <v>70000.0</v>
      </c>
      <c r="T150" s="1">
        <v>80000.0</v>
      </c>
      <c r="U150" s="1">
        <v>80000.0</v>
      </c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</row>
    <row r="151">
      <c r="A151" s="3"/>
      <c r="B151" s="3"/>
      <c r="C151" s="3"/>
      <c r="D151" s="126">
        <v>5.56070642E8</v>
      </c>
      <c r="E151" s="3"/>
      <c r="F151" s="1" t="s">
        <v>372</v>
      </c>
      <c r="G151" s="1" t="s">
        <v>171</v>
      </c>
      <c r="H151" s="1" t="s">
        <v>226</v>
      </c>
      <c r="I151" s="3"/>
      <c r="J151" s="3">
        <f>15000+10000+17500+5000</f>
        <v>47500</v>
      </c>
      <c r="K151" s="3"/>
      <c r="L151" s="3">
        <f>25000+350000-J151</f>
        <v>327500</v>
      </c>
      <c r="M151" s="3"/>
      <c r="N151" s="70"/>
      <c r="O151" s="3"/>
      <c r="P151" s="3">
        <f t="shared" si="1"/>
        <v>117500</v>
      </c>
      <c r="Q151" s="25">
        <f t="shared" si="2"/>
        <v>210000</v>
      </c>
      <c r="R151" s="1">
        <v>25000.0</v>
      </c>
      <c r="S151" s="1">
        <f>140000-47500</f>
        <v>92500</v>
      </c>
      <c r="T151" s="1"/>
      <c r="U151" s="1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</row>
    <row r="152">
      <c r="A152" s="1"/>
      <c r="B152" s="3"/>
      <c r="C152" s="3"/>
      <c r="D152" s="126">
        <v>5.56070642E8</v>
      </c>
      <c r="E152" s="3"/>
      <c r="F152" s="1" t="s">
        <v>373</v>
      </c>
      <c r="G152" s="1" t="s">
        <v>144</v>
      </c>
      <c r="H152" s="1" t="s">
        <v>56</v>
      </c>
      <c r="I152" s="3"/>
      <c r="J152" s="1">
        <f>5000+13000+16500</f>
        <v>34500</v>
      </c>
      <c r="K152" s="3"/>
      <c r="L152" s="3">
        <f t="shared" ref="L152:L153" si="12">25000+330000-J152</f>
        <v>320500</v>
      </c>
      <c r="M152" s="3"/>
      <c r="N152" s="70"/>
      <c r="O152" s="3"/>
      <c r="P152" s="3">
        <f t="shared" si="1"/>
        <v>122500</v>
      </c>
      <c r="Q152" s="25">
        <f t="shared" si="2"/>
        <v>198000</v>
      </c>
      <c r="R152" s="1">
        <v>25000.0</v>
      </c>
      <c r="S152" s="1">
        <v>97500.0</v>
      </c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</row>
    <row r="153">
      <c r="A153" s="3"/>
      <c r="B153" s="3"/>
      <c r="C153" s="3"/>
      <c r="D153" s="126">
        <v>5.56070642E8</v>
      </c>
      <c r="E153" s="3"/>
      <c r="F153" s="1" t="s">
        <v>374</v>
      </c>
      <c r="G153" s="1" t="s">
        <v>144</v>
      </c>
      <c r="H153" s="1" t="s">
        <v>56</v>
      </c>
      <c r="I153" s="1"/>
      <c r="J153" s="1">
        <f>5000+16500+13000</f>
        <v>34500</v>
      </c>
      <c r="K153" s="1"/>
      <c r="L153" s="3">
        <f t="shared" si="12"/>
        <v>320500</v>
      </c>
      <c r="M153" s="3"/>
      <c r="N153" s="105"/>
      <c r="O153" s="1"/>
      <c r="P153" s="3">
        <f t="shared" si="1"/>
        <v>122500</v>
      </c>
      <c r="Q153" s="25">
        <f t="shared" si="2"/>
        <v>198000</v>
      </c>
      <c r="R153" s="1">
        <v>25000.0</v>
      </c>
      <c r="S153" s="1">
        <f>132000-34500</f>
        <v>97500</v>
      </c>
      <c r="T153" s="1"/>
      <c r="U153" s="1"/>
      <c r="V153" s="1"/>
      <c r="W153" s="1"/>
      <c r="X153" s="1"/>
      <c r="Y153" s="1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</row>
    <row r="154">
      <c r="A154" s="1"/>
      <c r="B154" s="3"/>
      <c r="C154" s="3"/>
      <c r="D154" s="113">
        <v>7.97451905E8</v>
      </c>
      <c r="E154" s="1" t="s">
        <v>166</v>
      </c>
      <c r="F154" s="1" t="s">
        <v>375</v>
      </c>
      <c r="G154" s="1" t="s">
        <v>115</v>
      </c>
      <c r="H154" s="1" t="s">
        <v>17</v>
      </c>
      <c r="I154" s="3"/>
      <c r="J154" s="1">
        <v>10000.0</v>
      </c>
      <c r="K154" s="3"/>
      <c r="L154" s="3">
        <f>25000+185000+35000-J154</f>
        <v>235000</v>
      </c>
      <c r="M154" s="3"/>
      <c r="N154" s="70"/>
      <c r="O154" s="3"/>
      <c r="P154" s="3">
        <f t="shared" si="1"/>
        <v>25000</v>
      </c>
      <c r="Q154" s="25">
        <f t="shared" si="2"/>
        <v>210000</v>
      </c>
      <c r="R154" s="1">
        <v>25000.0</v>
      </c>
      <c r="S154" s="3"/>
      <c r="T154" s="1"/>
      <c r="U154" s="1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</row>
    <row r="155">
      <c r="A155" s="3"/>
      <c r="B155" s="3"/>
      <c r="C155" s="3"/>
      <c r="D155" s="3"/>
      <c r="E155" s="3"/>
      <c r="F155" s="1" t="s">
        <v>376</v>
      </c>
      <c r="G155" s="1" t="s">
        <v>115</v>
      </c>
      <c r="H155" s="1" t="s">
        <v>43</v>
      </c>
      <c r="I155" s="3"/>
      <c r="J155" s="1"/>
      <c r="K155" s="3"/>
      <c r="L155" s="3">
        <f>30000+250000-J155</f>
        <v>280000</v>
      </c>
      <c r="M155" s="3"/>
      <c r="N155" s="70"/>
      <c r="O155" s="3"/>
      <c r="P155" s="3">
        <f t="shared" si="1"/>
        <v>115000</v>
      </c>
      <c r="Q155" s="25">
        <f t="shared" si="2"/>
        <v>165000</v>
      </c>
      <c r="R155" s="1">
        <v>30000.0</v>
      </c>
      <c r="S155" s="1">
        <f>100000-15000</f>
        <v>85000</v>
      </c>
      <c r="T155" s="1"/>
      <c r="U155" s="1"/>
      <c r="V155" s="1"/>
      <c r="W155" s="1"/>
      <c r="X155" s="1"/>
      <c r="Y155" s="1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</row>
    <row r="156">
      <c r="A156" s="3"/>
      <c r="B156" s="3"/>
      <c r="C156" s="3"/>
      <c r="D156" s="1" t="s">
        <v>377</v>
      </c>
      <c r="E156" s="3"/>
      <c r="F156" s="1" t="s">
        <v>378</v>
      </c>
      <c r="G156" s="1" t="s">
        <v>144</v>
      </c>
      <c r="H156" s="1" t="s">
        <v>49</v>
      </c>
      <c r="I156" s="1" t="s">
        <v>129</v>
      </c>
      <c r="J156" s="1">
        <v>20000.0</v>
      </c>
      <c r="K156" s="3"/>
      <c r="L156" s="3">
        <f>25000+305000+52000-J156</f>
        <v>362000</v>
      </c>
      <c r="M156" s="3"/>
      <c r="N156" s="70"/>
      <c r="O156" s="3"/>
      <c r="P156" s="3">
        <f t="shared" si="1"/>
        <v>300000</v>
      </c>
      <c r="Q156" s="25">
        <f t="shared" si="2"/>
        <v>62000</v>
      </c>
      <c r="R156" s="1">
        <v>25000.0</v>
      </c>
      <c r="S156" s="1">
        <v>102000.0</v>
      </c>
      <c r="T156" s="1">
        <v>91500.0</v>
      </c>
      <c r="U156" s="1">
        <v>21500.0</v>
      </c>
      <c r="V156" s="1" t="s">
        <v>268</v>
      </c>
      <c r="W156" s="1">
        <v>30000.0</v>
      </c>
      <c r="X156" s="1">
        <v>20000.0</v>
      </c>
      <c r="Y156" s="1">
        <v>10000.0</v>
      </c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</row>
    <row r="157">
      <c r="A157" s="1"/>
      <c r="B157" s="3"/>
      <c r="C157" s="3"/>
      <c r="D157" s="1">
        <v>7.8307512E8</v>
      </c>
      <c r="E157" s="3"/>
      <c r="F157" s="1" t="s">
        <v>379</v>
      </c>
      <c r="G157" s="1" t="s">
        <v>171</v>
      </c>
      <c r="H157" s="1" t="s">
        <v>58</v>
      </c>
      <c r="I157" s="3"/>
      <c r="J157" s="1">
        <v>20000.0</v>
      </c>
      <c r="K157" s="3"/>
      <c r="L157" s="3">
        <f>30000+340000-J157</f>
        <v>350000</v>
      </c>
      <c r="M157" s="3"/>
      <c r="N157" s="70"/>
      <c r="O157" s="3"/>
      <c r="P157" s="3">
        <f t="shared" si="1"/>
        <v>146000</v>
      </c>
      <c r="Q157" s="25">
        <f t="shared" si="2"/>
        <v>204000</v>
      </c>
      <c r="R157" s="1">
        <v>30000.0</v>
      </c>
      <c r="S157" s="1">
        <f>136000-20000</f>
        <v>116000</v>
      </c>
      <c r="T157" s="1"/>
      <c r="U157" s="1"/>
      <c r="V157" s="3"/>
      <c r="W157" s="1"/>
      <c r="X157" s="1"/>
      <c r="Y157" s="1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</row>
    <row r="158">
      <c r="A158" s="3"/>
      <c r="B158" s="3"/>
      <c r="C158" s="3"/>
      <c r="D158" s="1">
        <v>6.70214335E8</v>
      </c>
      <c r="E158" s="3"/>
      <c r="F158" s="1" t="s">
        <v>380</v>
      </c>
      <c r="G158" s="1" t="s">
        <v>144</v>
      </c>
      <c r="H158" s="1" t="s">
        <v>49</v>
      </c>
      <c r="I158" s="1" t="s">
        <v>129</v>
      </c>
      <c r="J158" s="1"/>
      <c r="K158" s="3"/>
      <c r="L158" s="3">
        <f>25000+305000+55000-J158</f>
        <v>385000</v>
      </c>
      <c r="M158" s="3"/>
      <c r="N158" s="70"/>
      <c r="O158" s="3"/>
      <c r="P158" s="3">
        <f t="shared" si="1"/>
        <v>25000</v>
      </c>
      <c r="Q158" s="25">
        <f t="shared" si="2"/>
        <v>360000</v>
      </c>
      <c r="R158" s="1">
        <v>25000.0</v>
      </c>
      <c r="S158" s="1"/>
      <c r="T158" s="1"/>
      <c r="U158" s="1"/>
      <c r="V158" s="1" t="s">
        <v>201</v>
      </c>
      <c r="W158" s="3"/>
      <c r="X158" s="1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</row>
    <row r="159">
      <c r="A159" s="1"/>
      <c r="B159" s="3"/>
      <c r="C159" s="3"/>
      <c r="D159" s="1">
        <v>6.64783334E8</v>
      </c>
      <c r="E159" s="3"/>
      <c r="F159" s="1" t="s">
        <v>381</v>
      </c>
      <c r="G159" s="1" t="s">
        <v>115</v>
      </c>
      <c r="H159" s="1" t="s">
        <v>13</v>
      </c>
      <c r="I159" s="3"/>
      <c r="J159" s="3">
        <f t="shared" ref="J159:J160" si="13">18000+5000</f>
        <v>23000</v>
      </c>
      <c r="K159" s="3"/>
      <c r="L159" s="3">
        <f>25000+185000-J159</f>
        <v>187000</v>
      </c>
      <c r="M159" s="3"/>
      <c r="N159" s="70"/>
      <c r="O159" s="3"/>
      <c r="P159" s="3">
        <f t="shared" si="1"/>
        <v>76000</v>
      </c>
      <c r="Q159" s="25">
        <f t="shared" si="2"/>
        <v>111000</v>
      </c>
      <c r="R159" s="1">
        <v>25000.0</v>
      </c>
      <c r="S159" s="1">
        <f>74000-23000</f>
        <v>51000</v>
      </c>
      <c r="T159" s="1"/>
      <c r="U159" s="1"/>
      <c r="V159" s="3"/>
      <c r="W159" s="1"/>
      <c r="X159" s="1"/>
      <c r="Y159" s="1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</row>
    <row r="160">
      <c r="A160" s="3"/>
      <c r="B160" s="3"/>
      <c r="C160" s="3"/>
      <c r="D160" s="1">
        <v>6.64783334E8</v>
      </c>
      <c r="E160" s="3"/>
      <c r="F160" s="1" t="s">
        <v>382</v>
      </c>
      <c r="G160" s="1" t="s">
        <v>115</v>
      </c>
      <c r="H160" s="1" t="s">
        <v>39</v>
      </c>
      <c r="I160" s="3"/>
      <c r="J160" s="1">
        <f t="shared" si="13"/>
        <v>23000</v>
      </c>
      <c r="K160" s="3"/>
      <c r="L160" s="3">
        <f>25000+230000-J160</f>
        <v>232000</v>
      </c>
      <c r="M160" s="3"/>
      <c r="N160" s="70"/>
      <c r="O160" s="3"/>
      <c r="P160" s="3">
        <f t="shared" si="1"/>
        <v>94000</v>
      </c>
      <c r="Q160" s="25">
        <f t="shared" si="2"/>
        <v>138000</v>
      </c>
      <c r="R160" s="1">
        <v>25000.0</v>
      </c>
      <c r="S160" s="3">
        <f>92000-23000</f>
        <v>69000</v>
      </c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</row>
    <row r="161">
      <c r="A161" s="3"/>
      <c r="B161" s="1"/>
      <c r="C161" s="3"/>
      <c r="D161" s="1">
        <v>6.61163134E8</v>
      </c>
      <c r="E161" s="3"/>
      <c r="F161" s="1" t="s">
        <v>383</v>
      </c>
      <c r="G161" s="1" t="s">
        <v>115</v>
      </c>
      <c r="H161" s="1" t="s">
        <v>46</v>
      </c>
      <c r="I161" s="1" t="s">
        <v>129</v>
      </c>
      <c r="J161" s="3">
        <f>25000+15000</f>
        <v>40000</v>
      </c>
      <c r="K161" s="3"/>
      <c r="L161" s="3">
        <f>30000+250000+43000-J161+20000</f>
        <v>303000</v>
      </c>
      <c r="M161" s="1"/>
      <c r="N161" s="70"/>
      <c r="O161" s="3"/>
      <c r="P161" s="3">
        <f t="shared" si="1"/>
        <v>303000</v>
      </c>
      <c r="Q161" s="25">
        <f t="shared" si="2"/>
        <v>0</v>
      </c>
      <c r="R161" s="1">
        <v>30000.0</v>
      </c>
      <c r="S161" s="1">
        <v>70000.0</v>
      </c>
      <c r="T161" s="1">
        <v>80000.0</v>
      </c>
      <c r="U161" s="1">
        <v>80000.0</v>
      </c>
      <c r="V161" s="1" t="s">
        <v>10</v>
      </c>
      <c r="W161" s="1">
        <v>20000.0</v>
      </c>
      <c r="X161" s="1">
        <v>13000.0</v>
      </c>
      <c r="Y161" s="1">
        <v>10000.0</v>
      </c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</row>
    <row r="162">
      <c r="A162" s="3"/>
      <c r="B162" s="3"/>
      <c r="C162" s="3"/>
      <c r="D162" s="122">
        <v>5.50863409E8</v>
      </c>
      <c r="E162" s="3"/>
      <c r="F162" s="1" t="s">
        <v>384</v>
      </c>
      <c r="G162" s="1" t="s">
        <v>144</v>
      </c>
      <c r="H162" s="1" t="s">
        <v>52</v>
      </c>
      <c r="I162" s="1" t="s">
        <v>129</v>
      </c>
      <c r="J162" s="3"/>
      <c r="K162" s="3"/>
      <c r="L162" s="3">
        <f>25000+320000+52000-J162</f>
        <v>397000</v>
      </c>
      <c r="M162" s="3"/>
      <c r="N162" s="70"/>
      <c r="O162" s="3"/>
      <c r="P162" s="3">
        <f t="shared" si="1"/>
        <v>30000</v>
      </c>
      <c r="Q162" s="25">
        <f t="shared" si="2"/>
        <v>367000</v>
      </c>
      <c r="R162" s="1">
        <v>25000.0</v>
      </c>
      <c r="S162" s="1">
        <v>5000.0</v>
      </c>
      <c r="T162" s="1"/>
      <c r="U162" s="3"/>
      <c r="V162" s="1" t="s">
        <v>29</v>
      </c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107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</row>
    <row r="163">
      <c r="A163" s="1"/>
      <c r="B163" s="3"/>
      <c r="C163" s="3"/>
      <c r="D163" s="1">
        <v>5.52976923E8</v>
      </c>
      <c r="E163" s="3"/>
      <c r="F163" s="1" t="s">
        <v>385</v>
      </c>
      <c r="G163" s="1" t="s">
        <v>115</v>
      </c>
      <c r="H163" s="1" t="s">
        <v>41</v>
      </c>
      <c r="I163" s="3"/>
      <c r="J163" s="3">
        <f>23000+18000</f>
        <v>41000</v>
      </c>
      <c r="K163" s="3"/>
      <c r="L163" s="3">
        <f>25000+230000-J163+35000</f>
        <v>249000</v>
      </c>
      <c r="M163" s="3"/>
      <c r="N163" s="70"/>
      <c r="O163" s="3"/>
      <c r="P163" s="3">
        <f t="shared" si="1"/>
        <v>249000</v>
      </c>
      <c r="Q163" s="25">
        <f t="shared" si="2"/>
        <v>0</v>
      </c>
      <c r="R163" s="1">
        <v>25000.0</v>
      </c>
      <c r="S163" s="1">
        <v>66000.0</v>
      </c>
      <c r="T163" s="1">
        <v>79000.0</v>
      </c>
      <c r="U163" s="1">
        <v>79000.0</v>
      </c>
      <c r="V163" s="3"/>
      <c r="W163" s="3"/>
      <c r="X163" s="1"/>
      <c r="Y163" s="1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</row>
    <row r="164">
      <c r="A164" s="3"/>
      <c r="B164" s="3"/>
      <c r="C164" s="3"/>
      <c r="D164" s="1">
        <v>6.65456508E8</v>
      </c>
      <c r="E164" s="1" t="s">
        <v>166</v>
      </c>
      <c r="F164" s="1" t="s">
        <v>386</v>
      </c>
      <c r="G164" s="1" t="s">
        <v>115</v>
      </c>
      <c r="H164" s="1" t="s">
        <v>17</v>
      </c>
      <c r="I164" s="3"/>
      <c r="J164" s="1">
        <v>18500.0</v>
      </c>
      <c r="K164" s="3"/>
      <c r="L164" s="3">
        <f t="shared" ref="L164:L165" si="14">25000+185000+35000-J164</f>
        <v>226500</v>
      </c>
      <c r="M164" s="3"/>
      <c r="N164" s="70"/>
      <c r="O164" s="3"/>
      <c r="P164" s="3">
        <f t="shared" si="1"/>
        <v>226500</v>
      </c>
      <c r="Q164" s="25">
        <f t="shared" si="2"/>
        <v>0</v>
      </c>
      <c r="R164" s="1">
        <v>25000.0</v>
      </c>
      <c r="S164" s="1">
        <v>70500.0</v>
      </c>
      <c r="T164" s="1">
        <v>65500.0</v>
      </c>
      <c r="U164" s="1">
        <v>65500.0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</row>
    <row r="165">
      <c r="A165" s="3"/>
      <c r="B165" s="3"/>
      <c r="C165" s="3"/>
      <c r="D165" s="1">
        <v>5.61922991E8</v>
      </c>
      <c r="E165" s="3"/>
      <c r="F165" s="1" t="s">
        <v>387</v>
      </c>
      <c r="G165" s="1" t="s">
        <v>115</v>
      </c>
      <c r="H165" s="1" t="s">
        <v>8</v>
      </c>
      <c r="I165" s="3"/>
      <c r="J165" s="1">
        <v>18000.0</v>
      </c>
      <c r="K165" s="3"/>
      <c r="L165" s="3">
        <f t="shared" si="14"/>
        <v>227000</v>
      </c>
      <c r="M165" s="3"/>
      <c r="N165" s="70"/>
      <c r="O165" s="3"/>
      <c r="P165" s="3">
        <f t="shared" si="1"/>
        <v>96000</v>
      </c>
      <c r="Q165" s="25">
        <f t="shared" si="2"/>
        <v>131000</v>
      </c>
      <c r="R165" s="1">
        <v>25000.0</v>
      </c>
      <c r="S165" s="1">
        <v>71000.0</v>
      </c>
      <c r="T165" s="1"/>
      <c r="U165" s="1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</row>
    <row r="166">
      <c r="A166" s="3"/>
      <c r="B166" s="3"/>
      <c r="C166" s="3"/>
      <c r="D166" s="1">
        <v>7.99486046E8</v>
      </c>
      <c r="E166" s="3"/>
      <c r="F166" s="1" t="s">
        <v>388</v>
      </c>
      <c r="G166" s="1" t="s">
        <v>115</v>
      </c>
      <c r="H166" s="1" t="s">
        <v>46</v>
      </c>
      <c r="I166" s="3"/>
      <c r="J166" s="1">
        <f>15000+25000</f>
        <v>40000</v>
      </c>
      <c r="K166" s="3"/>
      <c r="L166" s="3">
        <f>30000+250000+20000-J166</f>
        <v>260000</v>
      </c>
      <c r="M166" s="3"/>
      <c r="N166" s="70"/>
      <c r="O166" s="3"/>
      <c r="P166" s="3">
        <f t="shared" si="1"/>
        <v>260000</v>
      </c>
      <c r="Q166" s="25">
        <f t="shared" si="2"/>
        <v>0</v>
      </c>
      <c r="R166" s="1">
        <v>30000.0</v>
      </c>
      <c r="S166" s="1">
        <v>70000.0</v>
      </c>
      <c r="T166" s="1">
        <v>80000.0</v>
      </c>
      <c r="U166" s="1">
        <v>80000.0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</row>
    <row r="167">
      <c r="A167" s="3"/>
      <c r="B167" s="3"/>
      <c r="C167" s="3"/>
      <c r="D167" s="1">
        <v>5.59186412E8</v>
      </c>
      <c r="E167" s="3"/>
      <c r="F167" s="1" t="s">
        <v>389</v>
      </c>
      <c r="G167" s="1" t="s">
        <v>115</v>
      </c>
      <c r="H167" s="1" t="s">
        <v>35</v>
      </c>
      <c r="I167" s="3"/>
      <c r="J167" s="1">
        <v>5000.0</v>
      </c>
      <c r="K167" s="3"/>
      <c r="L167" s="3">
        <f>25000+205000+35000-J167</f>
        <v>260000</v>
      </c>
      <c r="M167" s="3"/>
      <c r="N167" s="70"/>
      <c r="O167" s="3"/>
      <c r="P167" s="3">
        <f t="shared" si="1"/>
        <v>117000</v>
      </c>
      <c r="Q167" s="25">
        <f t="shared" si="2"/>
        <v>143000</v>
      </c>
      <c r="R167" s="1">
        <v>25000.0</v>
      </c>
      <c r="S167" s="3">
        <f>82000+15000-5000</f>
        <v>92000</v>
      </c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</row>
    <row r="168">
      <c r="A168" s="3"/>
      <c r="B168" s="3"/>
      <c r="C168" s="3"/>
      <c r="D168" s="1">
        <v>6.57115721E8</v>
      </c>
      <c r="E168" s="3"/>
      <c r="F168" s="1" t="s">
        <v>390</v>
      </c>
      <c r="G168" s="1" t="s">
        <v>115</v>
      </c>
      <c r="H168" s="1" t="s">
        <v>35</v>
      </c>
      <c r="I168" s="3"/>
      <c r="J168" s="3">
        <f>5000+13000</f>
        <v>18000</v>
      </c>
      <c r="K168" s="3"/>
      <c r="L168" s="3">
        <f>25000+220000+35000-J168</f>
        <v>262000</v>
      </c>
      <c r="M168" s="3"/>
      <c r="N168" s="70"/>
      <c r="O168" s="3"/>
      <c r="P168" s="3">
        <f t="shared" si="1"/>
        <v>110000</v>
      </c>
      <c r="Q168" s="25">
        <f t="shared" si="2"/>
        <v>152000</v>
      </c>
      <c r="R168" s="1">
        <v>25000.0</v>
      </c>
      <c r="S168" s="1">
        <v>85000.0</v>
      </c>
      <c r="T168" s="1"/>
      <c r="U168" s="1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</row>
    <row r="169">
      <c r="A169" s="3"/>
      <c r="B169" s="3"/>
      <c r="C169" s="3"/>
      <c r="D169" s="105">
        <v>5.58725701E8</v>
      </c>
      <c r="E169" s="70"/>
      <c r="F169" s="1" t="s">
        <v>391</v>
      </c>
      <c r="G169" s="1" t="s">
        <v>144</v>
      </c>
      <c r="H169" s="1" t="s">
        <v>49</v>
      </c>
      <c r="I169" s="3"/>
      <c r="J169" s="1">
        <v>10000.0</v>
      </c>
      <c r="K169" s="3"/>
      <c r="L169" s="3">
        <f>25000+305000-J169</f>
        <v>320000</v>
      </c>
      <c r="M169" s="3"/>
      <c r="N169" s="70"/>
      <c r="O169" s="3"/>
      <c r="P169" s="3">
        <f t="shared" si="1"/>
        <v>25000</v>
      </c>
      <c r="Q169" s="25">
        <f t="shared" si="2"/>
        <v>295000</v>
      </c>
      <c r="R169" s="1">
        <v>25000.0</v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</row>
    <row r="170">
      <c r="A170" s="3"/>
      <c r="B170" s="3"/>
      <c r="C170" s="3"/>
      <c r="D170" s="105">
        <v>6.61351504E8</v>
      </c>
      <c r="E170" s="70"/>
      <c r="F170" s="1" t="s">
        <v>392</v>
      </c>
      <c r="G170" s="1" t="s">
        <v>144</v>
      </c>
      <c r="H170" s="1" t="s">
        <v>56</v>
      </c>
      <c r="I170" s="3"/>
      <c r="J170" s="3">
        <f>5000+33000+13000</f>
        <v>51000</v>
      </c>
      <c r="K170" s="3"/>
      <c r="L170" s="3">
        <f>25000+330000-J170</f>
        <v>304000</v>
      </c>
      <c r="M170" s="3"/>
      <c r="N170" s="70"/>
      <c r="O170" s="3"/>
      <c r="P170" s="3">
        <f t="shared" si="1"/>
        <v>304000</v>
      </c>
      <c r="Q170" s="25">
        <f t="shared" si="2"/>
        <v>0</v>
      </c>
      <c r="R170" s="1">
        <v>25000.0</v>
      </c>
      <c r="S170" s="1">
        <v>81000.0</v>
      </c>
      <c r="T170" s="1">
        <v>99000.0</v>
      </c>
      <c r="U170" s="1">
        <v>99000.0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</row>
    <row r="171">
      <c r="A171" s="3"/>
      <c r="B171" s="3"/>
      <c r="C171" s="3"/>
      <c r="D171" s="105">
        <v>6.61351504E8</v>
      </c>
      <c r="E171" s="70"/>
      <c r="F171" s="1" t="s">
        <v>393</v>
      </c>
      <c r="G171" s="1" t="s">
        <v>144</v>
      </c>
      <c r="H171" s="1" t="s">
        <v>41</v>
      </c>
      <c r="I171" s="1"/>
      <c r="J171" s="3">
        <f>18000+23000+5000</f>
        <v>46000</v>
      </c>
      <c r="K171" s="3"/>
      <c r="L171" s="3">
        <f>25000+230000+35000-J171</f>
        <v>244000</v>
      </c>
      <c r="M171" s="3"/>
      <c r="N171" s="70"/>
      <c r="O171" s="3"/>
      <c r="P171" s="3">
        <f t="shared" si="1"/>
        <v>244000</v>
      </c>
      <c r="Q171" s="25">
        <f t="shared" si="2"/>
        <v>0</v>
      </c>
      <c r="R171" s="1">
        <v>25000.0</v>
      </c>
      <c r="S171" s="1">
        <v>61000.0</v>
      </c>
      <c r="T171" s="1">
        <v>79000.0</v>
      </c>
      <c r="U171" s="1">
        <v>79000.0</v>
      </c>
      <c r="V171" s="3"/>
      <c r="W171" s="3"/>
      <c r="X171" s="1"/>
      <c r="Y171" s="1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</row>
    <row r="172">
      <c r="A172" s="1"/>
      <c r="B172" s="3"/>
      <c r="C172" s="3"/>
      <c r="D172" s="105">
        <v>7.77471923E8</v>
      </c>
      <c r="E172" s="105" t="s">
        <v>166</v>
      </c>
      <c r="F172" s="1" t="s">
        <v>394</v>
      </c>
      <c r="G172" s="1" t="s">
        <v>115</v>
      </c>
      <c r="H172" s="1" t="s">
        <v>17</v>
      </c>
      <c r="I172" s="1"/>
      <c r="J172" s="1">
        <v>5000.0</v>
      </c>
      <c r="K172" s="3"/>
      <c r="L172" s="3">
        <f>25000+185000+35000-J172</f>
        <v>240000</v>
      </c>
      <c r="M172" s="1"/>
      <c r="N172" s="70"/>
      <c r="O172" s="3"/>
      <c r="P172" s="3">
        <f t="shared" si="1"/>
        <v>25000</v>
      </c>
      <c r="Q172" s="25">
        <f t="shared" si="2"/>
        <v>215000</v>
      </c>
      <c r="R172" s="1">
        <v>25000.0</v>
      </c>
      <c r="S172" s="1"/>
      <c r="T172" s="1"/>
      <c r="U172" s="1"/>
      <c r="V172" s="1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</row>
    <row r="173">
      <c r="A173" s="3"/>
      <c r="B173" s="3"/>
      <c r="C173" s="3"/>
      <c r="D173" s="105">
        <v>6.67682064E8</v>
      </c>
      <c r="E173" s="70"/>
      <c r="F173" s="1" t="s">
        <v>395</v>
      </c>
      <c r="G173" s="1" t="s">
        <v>115</v>
      </c>
      <c r="H173" s="1" t="s">
        <v>41</v>
      </c>
      <c r="I173" s="1" t="s">
        <v>129</v>
      </c>
      <c r="J173" s="3">
        <f>5000+18000</f>
        <v>23000</v>
      </c>
      <c r="K173" s="3"/>
      <c r="L173" s="3">
        <f>25000+230000+35000+43000-J173</f>
        <v>310000</v>
      </c>
      <c r="M173" s="1"/>
      <c r="N173" s="70"/>
      <c r="O173" s="3"/>
      <c r="P173" s="3">
        <f t="shared" si="1"/>
        <v>129000</v>
      </c>
      <c r="Q173" s="25">
        <f t="shared" si="2"/>
        <v>181000</v>
      </c>
      <c r="R173" s="1">
        <v>25000.0</v>
      </c>
      <c r="S173" s="1">
        <f>92000+15000-23000</f>
        <v>84000</v>
      </c>
      <c r="T173" s="1"/>
      <c r="U173" s="1"/>
      <c r="V173" s="1" t="s">
        <v>10</v>
      </c>
      <c r="W173" s="1">
        <v>20000.0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</row>
    <row r="174">
      <c r="A174" s="3"/>
      <c r="B174" s="3"/>
      <c r="C174" s="3"/>
      <c r="D174" s="105">
        <v>6.67682064E8</v>
      </c>
      <c r="E174" s="70"/>
      <c r="F174" s="1" t="s">
        <v>396</v>
      </c>
      <c r="G174" s="1" t="s">
        <v>115</v>
      </c>
      <c r="H174" s="1" t="s">
        <v>46</v>
      </c>
      <c r="I174" s="1" t="s">
        <v>129</v>
      </c>
      <c r="J174" s="1">
        <f>5000+15000</f>
        <v>20000</v>
      </c>
      <c r="K174" s="3"/>
      <c r="L174" s="3">
        <f>30000+250000+20000+43000-J174</f>
        <v>323000</v>
      </c>
      <c r="M174" s="3"/>
      <c r="N174" s="70"/>
      <c r="O174" s="3"/>
      <c r="P174" s="3">
        <f t="shared" si="1"/>
        <v>158000</v>
      </c>
      <c r="Q174" s="25">
        <f t="shared" si="2"/>
        <v>165000</v>
      </c>
      <c r="R174" s="1">
        <v>30000.0</v>
      </c>
      <c r="S174" s="1">
        <f>110000-2000</f>
        <v>108000</v>
      </c>
      <c r="T174" s="1"/>
      <c r="U174" s="1"/>
      <c r="V174" s="1" t="s">
        <v>10</v>
      </c>
      <c r="W174" s="1">
        <v>20000.0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</row>
    <row r="175">
      <c r="A175" s="3"/>
      <c r="B175" s="3"/>
      <c r="C175" s="3"/>
      <c r="D175" s="105">
        <v>7.71603158E8</v>
      </c>
      <c r="E175" s="70"/>
      <c r="F175" s="1" t="s">
        <v>397</v>
      </c>
      <c r="G175" s="1" t="s">
        <v>115</v>
      </c>
      <c r="H175" s="1" t="s">
        <v>56</v>
      </c>
      <c r="I175" s="3"/>
      <c r="J175" s="1">
        <f>13000+33000</f>
        <v>46000</v>
      </c>
      <c r="K175" s="3"/>
      <c r="L175" s="3">
        <f>25000+330000-J175</f>
        <v>309000</v>
      </c>
      <c r="M175" s="3"/>
      <c r="N175" s="70"/>
      <c r="O175" s="3"/>
      <c r="P175" s="3">
        <f t="shared" si="1"/>
        <v>309000</v>
      </c>
      <c r="Q175" s="25">
        <f t="shared" si="2"/>
        <v>0</v>
      </c>
      <c r="R175" s="1">
        <v>25000.0</v>
      </c>
      <c r="S175" s="1">
        <v>86000.0</v>
      </c>
      <c r="T175" s="1">
        <v>99000.0</v>
      </c>
      <c r="U175" s="1">
        <v>99000.0</v>
      </c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</row>
    <row r="176">
      <c r="A176" s="1"/>
      <c r="B176" s="3"/>
      <c r="C176" s="3"/>
      <c r="D176" s="105">
        <v>5.501847654E9</v>
      </c>
      <c r="E176" s="70"/>
      <c r="F176" s="1" t="s">
        <v>398</v>
      </c>
      <c r="G176" s="1" t="s">
        <v>115</v>
      </c>
      <c r="H176" s="1" t="s">
        <v>17</v>
      </c>
      <c r="I176" s="1" t="s">
        <v>129</v>
      </c>
      <c r="J176" s="1">
        <v>10000.0</v>
      </c>
      <c r="K176" s="3"/>
      <c r="L176" s="3">
        <f>25000+185000+35000+43000-J176</f>
        <v>278000</v>
      </c>
      <c r="M176" s="3"/>
      <c r="N176" s="105"/>
      <c r="O176" s="3"/>
      <c r="P176" s="3">
        <f t="shared" si="1"/>
        <v>25000</v>
      </c>
      <c r="Q176" s="25">
        <f t="shared" si="2"/>
        <v>253000</v>
      </c>
      <c r="R176" s="1">
        <v>25000.0</v>
      </c>
      <c r="S176" s="3"/>
      <c r="T176" s="3"/>
      <c r="U176" s="3"/>
      <c r="V176" s="1" t="s">
        <v>10</v>
      </c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</row>
    <row r="177">
      <c r="A177" s="3"/>
      <c r="B177" s="3"/>
      <c r="C177" s="3"/>
      <c r="D177" s="105">
        <v>5.40592933E8</v>
      </c>
      <c r="E177" s="70"/>
      <c r="F177" s="1" t="s">
        <v>399</v>
      </c>
      <c r="G177" s="1" t="s">
        <v>115</v>
      </c>
      <c r="H177" s="1" t="s">
        <v>35</v>
      </c>
      <c r="I177" s="3"/>
      <c r="J177" s="3">
        <f>23000+13000</f>
        <v>36000</v>
      </c>
      <c r="K177" s="3"/>
      <c r="L177" s="3">
        <f>25000+230000+35000-J177</f>
        <v>254000</v>
      </c>
      <c r="M177" s="3"/>
      <c r="N177" s="70"/>
      <c r="O177" s="3"/>
      <c r="P177" s="3">
        <f t="shared" si="1"/>
        <v>244000</v>
      </c>
      <c r="Q177" s="25">
        <f t="shared" si="2"/>
        <v>10000</v>
      </c>
      <c r="R177" s="1">
        <v>25000.0</v>
      </c>
      <c r="S177" s="1">
        <v>67000.0</v>
      </c>
      <c r="T177" s="1">
        <v>76000.0</v>
      </c>
      <c r="U177" s="1">
        <v>76000.0</v>
      </c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</row>
    <row r="178">
      <c r="A178" s="1"/>
      <c r="B178" s="3"/>
      <c r="C178" s="3"/>
      <c r="D178" s="105" t="s">
        <v>400</v>
      </c>
      <c r="E178" s="105" t="s">
        <v>166</v>
      </c>
      <c r="F178" s="1" t="s">
        <v>401</v>
      </c>
      <c r="G178" s="1" t="s">
        <v>115</v>
      </c>
      <c r="H178" s="1" t="s">
        <v>17</v>
      </c>
      <c r="I178" s="1"/>
      <c r="J178" s="1">
        <v>18000.0</v>
      </c>
      <c r="K178" s="3"/>
      <c r="L178" s="3">
        <f>25000+185000+35000-J178</f>
        <v>227000</v>
      </c>
      <c r="M178" s="3"/>
      <c r="N178" s="70"/>
      <c r="O178" s="3"/>
      <c r="P178" s="3">
        <f t="shared" si="1"/>
        <v>96000</v>
      </c>
      <c r="Q178" s="25">
        <f t="shared" si="2"/>
        <v>131000</v>
      </c>
      <c r="R178" s="1">
        <v>25000.0</v>
      </c>
      <c r="S178" s="1">
        <v>71000.0</v>
      </c>
      <c r="T178" s="1"/>
      <c r="U178" s="1"/>
      <c r="V178" s="3"/>
      <c r="W178" s="1"/>
      <c r="X178" s="1"/>
      <c r="Y178" s="1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</row>
    <row r="179">
      <c r="A179" s="3"/>
      <c r="B179" s="3"/>
      <c r="C179" s="3"/>
      <c r="D179" s="105">
        <v>7.92970235E8</v>
      </c>
      <c r="E179" s="105" t="s">
        <v>166</v>
      </c>
      <c r="F179" s="1" t="s">
        <v>402</v>
      </c>
      <c r="G179" s="1" t="s">
        <v>115</v>
      </c>
      <c r="H179" s="1" t="s">
        <v>3</v>
      </c>
      <c r="I179" s="1" t="s">
        <v>129</v>
      </c>
      <c r="J179" s="3"/>
      <c r="K179" s="3"/>
      <c r="L179" s="3">
        <f>55000+18000+135000</f>
        <v>208000</v>
      </c>
      <c r="M179" s="1"/>
      <c r="N179" s="70"/>
      <c r="O179" s="3"/>
      <c r="P179" s="3">
        <f t="shared" si="1"/>
        <v>18000</v>
      </c>
      <c r="Q179" s="25">
        <f t="shared" si="2"/>
        <v>190000</v>
      </c>
      <c r="R179" s="1"/>
      <c r="S179" s="1">
        <v>18000.0</v>
      </c>
      <c r="T179" s="1"/>
      <c r="U179" s="1"/>
      <c r="V179" s="1" t="s">
        <v>403</v>
      </c>
      <c r="W179" s="1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</row>
    <row r="180">
      <c r="A180" s="1"/>
      <c r="B180" s="3"/>
      <c r="C180" s="3"/>
      <c r="D180" s="105">
        <v>6.97878246E8</v>
      </c>
      <c r="E180" s="70"/>
      <c r="F180" s="1" t="s">
        <v>404</v>
      </c>
      <c r="G180" s="1" t="s">
        <v>144</v>
      </c>
      <c r="H180" s="1" t="s">
        <v>49</v>
      </c>
      <c r="I180" s="3"/>
      <c r="J180" s="1">
        <f>10000+10000+5000</f>
        <v>25000</v>
      </c>
      <c r="K180" s="3"/>
      <c r="L180" s="3">
        <f>25000+305000-J180</f>
        <v>305000</v>
      </c>
      <c r="M180" s="3"/>
      <c r="N180" s="105"/>
      <c r="O180" s="1"/>
      <c r="P180" s="3">
        <f t="shared" si="1"/>
        <v>199000</v>
      </c>
      <c r="Q180" s="25">
        <f t="shared" si="2"/>
        <v>106000</v>
      </c>
      <c r="R180" s="1">
        <v>25000.0</v>
      </c>
      <c r="S180" s="1">
        <f>122000-25000</f>
        <v>97000</v>
      </c>
      <c r="T180" s="1">
        <v>77000.0</v>
      </c>
      <c r="U180" s="1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</row>
    <row r="181">
      <c r="A181" s="1"/>
      <c r="B181" s="3"/>
      <c r="C181" s="3"/>
      <c r="D181" s="105">
        <v>6.97878246E8</v>
      </c>
      <c r="E181" s="70"/>
      <c r="F181" s="1" t="s">
        <v>405</v>
      </c>
      <c r="G181" s="1" t="s">
        <v>115</v>
      </c>
      <c r="H181" s="1" t="s">
        <v>43</v>
      </c>
      <c r="I181" s="1"/>
      <c r="J181" s="3">
        <f>15000+5000</f>
        <v>20000</v>
      </c>
      <c r="K181" s="3"/>
      <c r="L181" s="3">
        <f>30000+250000-J181</f>
        <v>260000</v>
      </c>
      <c r="M181" s="3"/>
      <c r="N181" s="70"/>
      <c r="O181" s="3"/>
      <c r="P181" s="3">
        <f t="shared" si="1"/>
        <v>110000</v>
      </c>
      <c r="Q181" s="25">
        <f t="shared" si="2"/>
        <v>150000</v>
      </c>
      <c r="R181" s="1">
        <v>30000.0</v>
      </c>
      <c r="S181" s="1">
        <f>100000-20000</f>
        <v>80000</v>
      </c>
      <c r="T181" s="1"/>
      <c r="U181" s="1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</row>
    <row r="182">
      <c r="A182" s="3"/>
      <c r="B182" s="3"/>
      <c r="C182" s="3"/>
      <c r="D182" s="105">
        <v>6.97878246E8</v>
      </c>
      <c r="E182" s="70"/>
      <c r="F182" s="1" t="s">
        <v>406</v>
      </c>
      <c r="G182" s="1" t="s">
        <v>115</v>
      </c>
      <c r="H182" s="1" t="s">
        <v>17</v>
      </c>
      <c r="I182" s="3"/>
      <c r="J182" s="1">
        <f>10000+8000+5000</f>
        <v>23000</v>
      </c>
      <c r="K182" s="3"/>
      <c r="L182" s="3">
        <f t="shared" ref="L182:L183" si="15">25000+185000+35000-J182</f>
        <v>222000</v>
      </c>
      <c r="M182" s="3"/>
      <c r="N182" s="70"/>
      <c r="O182" s="3"/>
      <c r="P182" s="3">
        <f t="shared" si="1"/>
        <v>91000</v>
      </c>
      <c r="Q182" s="25">
        <f t="shared" si="2"/>
        <v>131000</v>
      </c>
      <c r="R182" s="1">
        <v>25000.0</v>
      </c>
      <c r="S182" s="1">
        <f>74000+15000-23000</f>
        <v>66000</v>
      </c>
      <c r="T182" s="1"/>
      <c r="U182" s="1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</row>
    <row r="183">
      <c r="A183" s="3"/>
      <c r="B183" s="3"/>
      <c r="C183" s="3"/>
      <c r="D183" s="105">
        <v>6.73247969E8</v>
      </c>
      <c r="E183" s="105" t="s">
        <v>166</v>
      </c>
      <c r="F183" s="1" t="s">
        <v>407</v>
      </c>
      <c r="G183" s="1" t="s">
        <v>115</v>
      </c>
      <c r="H183" s="1" t="s">
        <v>17</v>
      </c>
      <c r="I183" s="3"/>
      <c r="J183" s="3"/>
      <c r="K183" s="3"/>
      <c r="L183" s="3">
        <f t="shared" si="15"/>
        <v>245000</v>
      </c>
      <c r="M183" s="3"/>
      <c r="N183" s="70"/>
      <c r="O183" s="3"/>
      <c r="P183" s="3">
        <f t="shared" si="1"/>
        <v>54000</v>
      </c>
      <c r="Q183" s="25">
        <f t="shared" si="2"/>
        <v>191000</v>
      </c>
      <c r="R183" s="1">
        <v>25000.0</v>
      </c>
      <c r="S183" s="1">
        <v>29000.0</v>
      </c>
      <c r="T183" s="1"/>
      <c r="U183" s="1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</row>
    <row r="184">
      <c r="A184" s="3"/>
      <c r="B184" s="3"/>
      <c r="C184" s="3"/>
      <c r="D184" s="105">
        <v>7.70759451E8</v>
      </c>
      <c r="E184" s="70"/>
      <c r="F184" s="1" t="s">
        <v>408</v>
      </c>
      <c r="G184" s="1" t="s">
        <v>115</v>
      </c>
      <c r="H184" s="1" t="s">
        <v>17</v>
      </c>
      <c r="I184" s="1" t="s">
        <v>129</v>
      </c>
      <c r="J184" s="1">
        <v>18000.0</v>
      </c>
      <c r="K184" s="3"/>
      <c r="L184" s="3">
        <f>25000+185000+35000+52000-J184</f>
        <v>279000</v>
      </c>
      <c r="M184" s="3"/>
      <c r="N184" s="70"/>
      <c r="O184" s="3"/>
      <c r="P184" s="3">
        <f t="shared" si="1"/>
        <v>126000</v>
      </c>
      <c r="Q184" s="25">
        <f t="shared" si="2"/>
        <v>153000</v>
      </c>
      <c r="R184" s="1">
        <v>25000.0</v>
      </c>
      <c r="S184" s="1">
        <v>71000.0</v>
      </c>
      <c r="T184" s="1"/>
      <c r="U184" s="1"/>
      <c r="V184" s="1" t="s">
        <v>47</v>
      </c>
      <c r="W184" s="1">
        <v>30000.0</v>
      </c>
      <c r="X184" s="1"/>
      <c r="Y184" s="1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</row>
    <row r="185">
      <c r="A185" s="1"/>
      <c r="B185" s="3"/>
      <c r="C185" s="3"/>
      <c r="D185" s="105">
        <v>7.82904949E8</v>
      </c>
      <c r="E185" s="105" t="s">
        <v>166</v>
      </c>
      <c r="F185" s="1" t="s">
        <v>409</v>
      </c>
      <c r="G185" s="1" t="s">
        <v>115</v>
      </c>
      <c r="H185" s="1" t="s">
        <v>17</v>
      </c>
      <c r="I185" s="1" t="s">
        <v>129</v>
      </c>
      <c r="J185" s="1"/>
      <c r="K185" s="3"/>
      <c r="L185" s="3">
        <f>25000+185000+35000+43000-J185</f>
        <v>288000</v>
      </c>
      <c r="M185" s="3"/>
      <c r="N185" s="70"/>
      <c r="O185" s="3"/>
      <c r="P185" s="3">
        <f t="shared" si="1"/>
        <v>134000</v>
      </c>
      <c r="Q185" s="25">
        <f t="shared" si="2"/>
        <v>154000</v>
      </c>
      <c r="R185" s="1">
        <v>25000.0</v>
      </c>
      <c r="S185" s="1">
        <f>74000+15000</f>
        <v>89000</v>
      </c>
      <c r="T185" s="1"/>
      <c r="U185" s="1"/>
      <c r="V185" s="1" t="s">
        <v>10</v>
      </c>
      <c r="W185" s="1">
        <v>20000.0</v>
      </c>
      <c r="X185" s="1"/>
      <c r="Y185" s="1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</row>
    <row r="186">
      <c r="A186" s="1"/>
      <c r="B186" s="3"/>
      <c r="C186" s="3"/>
      <c r="D186" s="105">
        <v>5.41921109E8</v>
      </c>
      <c r="E186" s="70"/>
      <c r="F186" s="1" t="s">
        <v>410</v>
      </c>
      <c r="G186" s="1" t="s">
        <v>115</v>
      </c>
      <c r="H186" s="1" t="s">
        <v>17</v>
      </c>
      <c r="I186" s="1"/>
      <c r="J186" s="1">
        <v>18000.0</v>
      </c>
      <c r="K186" s="3"/>
      <c r="L186" s="3">
        <f>25000+185000+35000-J186</f>
        <v>227000</v>
      </c>
      <c r="M186" s="3"/>
      <c r="N186" s="70"/>
      <c r="O186" s="3"/>
      <c r="P186" s="3">
        <f t="shared" si="1"/>
        <v>96000</v>
      </c>
      <c r="Q186" s="25">
        <f t="shared" si="2"/>
        <v>131000</v>
      </c>
      <c r="R186" s="1">
        <v>25000.0</v>
      </c>
      <c r="S186" s="1">
        <v>71000.0</v>
      </c>
      <c r="T186" s="1"/>
      <c r="U186" s="1"/>
      <c r="V186" s="1"/>
      <c r="W186" s="1"/>
      <c r="X186" s="1"/>
      <c r="Y186" s="1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</row>
    <row r="187">
      <c r="A187" s="1"/>
      <c r="B187" s="3"/>
      <c r="C187" s="3"/>
      <c r="D187" s="105">
        <v>5.61836201E8</v>
      </c>
      <c r="E187" s="70"/>
      <c r="F187" s="1" t="s">
        <v>411</v>
      </c>
      <c r="G187" s="1" t="s">
        <v>171</v>
      </c>
      <c r="H187" s="1" t="s">
        <v>172</v>
      </c>
      <c r="I187" s="1" t="s">
        <v>129</v>
      </c>
      <c r="J187" s="3"/>
      <c r="K187" s="3"/>
      <c r="L187" s="3">
        <f>30000+365000-J187+55000</f>
        <v>450000</v>
      </c>
      <c r="M187" s="3"/>
      <c r="N187" s="105"/>
      <c r="O187" s="3"/>
      <c r="P187" s="3">
        <f t="shared" si="1"/>
        <v>176000</v>
      </c>
      <c r="Q187" s="25">
        <f t="shared" si="2"/>
        <v>274000</v>
      </c>
      <c r="R187" s="1">
        <v>30000.0</v>
      </c>
      <c r="S187" s="1">
        <v>146000.0</v>
      </c>
      <c r="T187" s="1"/>
      <c r="U187" s="1"/>
      <c r="V187" s="1" t="s">
        <v>201</v>
      </c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</row>
    <row r="188">
      <c r="A188" s="3"/>
      <c r="B188" s="3"/>
      <c r="C188" s="3"/>
      <c r="D188" s="105">
        <v>5.62062854E8</v>
      </c>
      <c r="E188" s="70"/>
      <c r="F188" s="1" t="s">
        <v>412</v>
      </c>
      <c r="G188" s="1" t="s">
        <v>171</v>
      </c>
      <c r="H188" s="1" t="s">
        <v>172</v>
      </c>
      <c r="I188" s="3"/>
      <c r="J188" s="1"/>
      <c r="K188" s="3"/>
      <c r="L188" s="3">
        <f>30000+365000-J188</f>
        <v>395000</v>
      </c>
      <c r="M188" s="3"/>
      <c r="N188" s="70"/>
      <c r="O188" s="3"/>
      <c r="P188" s="3">
        <f t="shared" si="1"/>
        <v>30000</v>
      </c>
      <c r="Q188" s="25">
        <f t="shared" si="2"/>
        <v>365000</v>
      </c>
      <c r="R188" s="1">
        <v>30000.0</v>
      </c>
      <c r="S188" s="3"/>
      <c r="T188" s="1"/>
      <c r="U188" s="1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</row>
    <row r="189">
      <c r="A189" s="1"/>
      <c r="B189" s="3"/>
      <c r="C189" s="3"/>
      <c r="D189" s="105">
        <v>5.40446159E8</v>
      </c>
      <c r="E189" s="70"/>
      <c r="F189" s="1" t="s">
        <v>413</v>
      </c>
      <c r="G189" s="1" t="s">
        <v>144</v>
      </c>
      <c r="H189" s="1" t="s">
        <v>52</v>
      </c>
      <c r="I189" s="1" t="s">
        <v>129</v>
      </c>
      <c r="J189" s="1">
        <f>5000+10000</f>
        <v>15000</v>
      </c>
      <c r="K189" s="3"/>
      <c r="L189" s="3">
        <f>25000+320000+55000-J189</f>
        <v>385000</v>
      </c>
      <c r="M189" s="3"/>
      <c r="N189" s="70"/>
      <c r="O189" s="3"/>
      <c r="P189" s="3">
        <f t="shared" si="1"/>
        <v>168000</v>
      </c>
      <c r="Q189" s="25">
        <f t="shared" si="2"/>
        <v>217000</v>
      </c>
      <c r="R189" s="1">
        <v>25000.0</v>
      </c>
      <c r="S189" s="1">
        <f>128000-15000</f>
        <v>113000</v>
      </c>
      <c r="T189" s="1"/>
      <c r="U189" s="1"/>
      <c r="V189" s="1" t="s">
        <v>339</v>
      </c>
      <c r="W189" s="1">
        <v>30000.0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</row>
    <row r="190">
      <c r="A190" s="3"/>
      <c r="B190" s="3"/>
      <c r="C190" s="3"/>
      <c r="D190" s="105">
        <v>5.40446159E8</v>
      </c>
      <c r="E190" s="70"/>
      <c r="F190" s="1" t="s">
        <v>414</v>
      </c>
      <c r="G190" s="1" t="s">
        <v>171</v>
      </c>
      <c r="H190" s="1" t="s">
        <v>198</v>
      </c>
      <c r="I190" s="1" t="s">
        <v>415</v>
      </c>
      <c r="J190" s="3">
        <f>5000+13000</f>
        <v>18000</v>
      </c>
      <c r="K190" s="3"/>
      <c r="L190" s="3">
        <f>25000+355000+55000-J190</f>
        <v>417000</v>
      </c>
      <c r="M190" s="3"/>
      <c r="N190" s="70"/>
      <c r="O190" s="3"/>
      <c r="P190" s="3">
        <f t="shared" si="1"/>
        <v>179000</v>
      </c>
      <c r="Q190" s="25">
        <f t="shared" si="2"/>
        <v>238000</v>
      </c>
      <c r="R190" s="1">
        <v>25000.0</v>
      </c>
      <c r="S190" s="1">
        <f>142000-18000</f>
        <v>124000</v>
      </c>
      <c r="T190" s="3"/>
      <c r="U190" s="1"/>
      <c r="V190" s="1" t="s">
        <v>339</v>
      </c>
      <c r="W190" s="1">
        <v>30000.0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</row>
    <row r="191">
      <c r="A191" s="3"/>
      <c r="B191" s="3"/>
      <c r="C191" s="3"/>
      <c r="D191" s="105">
        <v>7.70315116E8</v>
      </c>
      <c r="E191" s="70"/>
      <c r="F191" s="1" t="s">
        <v>416</v>
      </c>
      <c r="G191" s="1" t="s">
        <v>171</v>
      </c>
      <c r="H191" s="1" t="s">
        <v>226</v>
      </c>
      <c r="I191" s="1" t="s">
        <v>415</v>
      </c>
      <c r="J191" s="1">
        <v>57800.0</v>
      </c>
      <c r="K191" s="3"/>
      <c r="L191" s="3">
        <f>25000+350000+40000-J191</f>
        <v>357200</v>
      </c>
      <c r="M191" s="3"/>
      <c r="N191" s="70"/>
      <c r="O191" s="3"/>
      <c r="P191" s="3">
        <f t="shared" si="1"/>
        <v>357200</v>
      </c>
      <c r="Q191" s="25">
        <f t="shared" si="2"/>
        <v>0</v>
      </c>
      <c r="R191" s="1">
        <v>25000.0</v>
      </c>
      <c r="S191" s="1">
        <v>82200.0</v>
      </c>
      <c r="T191" s="1">
        <v>105000.0</v>
      </c>
      <c r="U191" s="1">
        <v>105000.0</v>
      </c>
      <c r="V191" s="1" t="s">
        <v>5</v>
      </c>
      <c r="W191" s="1">
        <v>20000.0</v>
      </c>
      <c r="X191" s="1">
        <v>10000.0</v>
      </c>
      <c r="Y191" s="1">
        <v>10000.0</v>
      </c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</row>
    <row r="192">
      <c r="A192" s="1"/>
      <c r="B192" s="3"/>
      <c r="C192" s="3"/>
      <c r="D192" s="105">
        <v>7.70315116E8</v>
      </c>
      <c r="E192" s="70"/>
      <c r="F192" s="1" t="s">
        <v>417</v>
      </c>
      <c r="G192" s="1" t="s">
        <v>144</v>
      </c>
      <c r="H192" s="1" t="s">
        <v>56</v>
      </c>
      <c r="I192" s="1" t="s">
        <v>415</v>
      </c>
      <c r="J192" s="1">
        <v>57800.0</v>
      </c>
      <c r="K192" s="3"/>
      <c r="L192" s="3">
        <f>25000+330000+40000-J192</f>
        <v>337200</v>
      </c>
      <c r="M192" s="3"/>
      <c r="N192" s="70"/>
      <c r="O192" s="3"/>
      <c r="P192" s="3">
        <f t="shared" si="1"/>
        <v>337200</v>
      </c>
      <c r="Q192" s="25">
        <f t="shared" si="2"/>
        <v>0</v>
      </c>
      <c r="R192" s="1">
        <v>25000.0</v>
      </c>
      <c r="S192" s="1">
        <v>54200.0</v>
      </c>
      <c r="T192" s="1">
        <v>109000.0</v>
      </c>
      <c r="U192" s="1">
        <v>109000.0</v>
      </c>
      <c r="V192" s="1" t="s">
        <v>5</v>
      </c>
      <c r="W192" s="1">
        <v>20000.0</v>
      </c>
      <c r="X192" s="1">
        <v>10000.0</v>
      </c>
      <c r="Y192" s="1">
        <v>10000.0</v>
      </c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</row>
    <row r="193">
      <c r="A193" s="3"/>
      <c r="B193" s="3"/>
      <c r="C193" s="3"/>
      <c r="D193" s="105">
        <v>7.70315116E8</v>
      </c>
      <c r="E193" s="70"/>
      <c r="F193" s="1" t="s">
        <v>418</v>
      </c>
      <c r="G193" s="1" t="s">
        <v>115</v>
      </c>
      <c r="H193" s="1" t="s">
        <v>41</v>
      </c>
      <c r="I193" s="1" t="s">
        <v>415</v>
      </c>
      <c r="J193" s="1">
        <v>57800.0</v>
      </c>
      <c r="K193" s="3"/>
      <c r="L193" s="3">
        <f>25000+230000+35000+40000-J193</f>
        <v>272200</v>
      </c>
      <c r="M193" s="3"/>
      <c r="N193" s="70"/>
      <c r="O193" s="3"/>
      <c r="P193" s="3">
        <f t="shared" si="1"/>
        <v>272200</v>
      </c>
      <c r="Q193" s="25">
        <f t="shared" si="2"/>
        <v>0</v>
      </c>
      <c r="R193" s="1">
        <v>25000.0</v>
      </c>
      <c r="S193" s="1">
        <v>49200.0</v>
      </c>
      <c r="T193" s="1">
        <v>79000.0</v>
      </c>
      <c r="U193" s="1">
        <v>79000.0</v>
      </c>
      <c r="V193" s="1" t="s">
        <v>5</v>
      </c>
      <c r="W193" s="1">
        <v>20000.0</v>
      </c>
      <c r="X193" s="1">
        <v>10000.0</v>
      </c>
      <c r="Y193" s="1">
        <v>10000.0</v>
      </c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</row>
    <row r="194">
      <c r="A194" s="3"/>
      <c r="B194" s="3"/>
      <c r="C194" s="3"/>
      <c r="D194" s="105">
        <v>7.70315116E8</v>
      </c>
      <c r="E194" s="70"/>
      <c r="F194" s="1" t="s">
        <v>419</v>
      </c>
      <c r="G194" s="1" t="s">
        <v>115</v>
      </c>
      <c r="H194" s="1" t="s">
        <v>27</v>
      </c>
      <c r="I194" s="1" t="s">
        <v>129</v>
      </c>
      <c r="J194" s="1">
        <v>57800.0</v>
      </c>
      <c r="K194" s="3"/>
      <c r="L194" s="3">
        <f>25000+205000+35000+40000-J194</f>
        <v>247200</v>
      </c>
      <c r="M194" s="3"/>
      <c r="N194" s="70"/>
      <c r="O194" s="3"/>
      <c r="P194" s="3">
        <f t="shared" si="1"/>
        <v>247200</v>
      </c>
      <c r="Q194" s="25">
        <f t="shared" si="2"/>
        <v>0</v>
      </c>
      <c r="R194" s="1">
        <v>25000.0</v>
      </c>
      <c r="S194" s="1">
        <v>51200.0</v>
      </c>
      <c r="T194" s="1">
        <v>65500.0</v>
      </c>
      <c r="U194" s="1">
        <v>65500.0</v>
      </c>
      <c r="V194" s="1" t="s">
        <v>5</v>
      </c>
      <c r="W194" s="1">
        <v>20000.0</v>
      </c>
      <c r="X194" s="1">
        <v>10000.0</v>
      </c>
      <c r="Y194" s="1">
        <v>10000.0</v>
      </c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</row>
    <row r="195">
      <c r="A195" s="3"/>
      <c r="B195" s="3"/>
      <c r="C195" s="3"/>
      <c r="D195" s="105">
        <v>5.50403653E8</v>
      </c>
      <c r="E195" s="70"/>
      <c r="F195" s="1" t="s">
        <v>420</v>
      </c>
      <c r="G195" s="1" t="s">
        <v>115</v>
      </c>
      <c r="H195" s="1" t="s">
        <v>46</v>
      </c>
      <c r="I195" s="1" t="s">
        <v>129</v>
      </c>
      <c r="J195" s="1">
        <f>5000+15000</f>
        <v>20000</v>
      </c>
      <c r="K195" s="3"/>
      <c r="L195" s="3">
        <f>30000+250000+20000+35000-J195</f>
        <v>315000</v>
      </c>
      <c r="M195" s="3"/>
      <c r="N195" s="70"/>
      <c r="O195" s="3"/>
      <c r="P195" s="3">
        <f t="shared" si="1"/>
        <v>120000</v>
      </c>
      <c r="Q195" s="25">
        <f t="shared" si="2"/>
        <v>195000</v>
      </c>
      <c r="R195" s="1">
        <v>30000.0</v>
      </c>
      <c r="S195" s="3">
        <f>110000-20000</f>
        <v>90000</v>
      </c>
      <c r="T195" s="3"/>
      <c r="U195" s="1"/>
      <c r="V195" s="1" t="s">
        <v>14</v>
      </c>
      <c r="W195" s="1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</row>
    <row r="196">
      <c r="A196" s="3"/>
      <c r="B196" s="1"/>
      <c r="C196" s="3"/>
      <c r="D196" s="105">
        <v>5.50403653E8</v>
      </c>
      <c r="E196" s="105"/>
      <c r="F196" s="1" t="s">
        <v>421</v>
      </c>
      <c r="G196" s="1" t="s">
        <v>115</v>
      </c>
      <c r="H196" s="1" t="s">
        <v>27</v>
      </c>
      <c r="I196" s="1" t="s">
        <v>129</v>
      </c>
      <c r="J196" s="3">
        <f>5000+5000</f>
        <v>10000</v>
      </c>
      <c r="K196" s="3"/>
      <c r="L196" s="3">
        <f>25000+205000+35000+35000-J196</f>
        <v>290000</v>
      </c>
      <c r="M196" s="3"/>
      <c r="N196" s="105"/>
      <c r="O196" s="1"/>
      <c r="P196" s="3">
        <f t="shared" si="1"/>
        <v>112000</v>
      </c>
      <c r="Q196" s="25">
        <f t="shared" si="2"/>
        <v>178000</v>
      </c>
      <c r="R196" s="1">
        <v>25000.0</v>
      </c>
      <c r="S196" s="1">
        <f>82000+15000-10000</f>
        <v>87000</v>
      </c>
      <c r="T196" s="3"/>
      <c r="U196" s="3"/>
      <c r="V196" s="1" t="s">
        <v>14</v>
      </c>
      <c r="W196" s="1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</row>
    <row r="197">
      <c r="A197" s="3"/>
      <c r="B197" s="1"/>
      <c r="C197" s="3"/>
      <c r="D197" s="105">
        <v>5.50403653E8</v>
      </c>
      <c r="E197" s="70"/>
      <c r="F197" s="1" t="s">
        <v>422</v>
      </c>
      <c r="G197" s="1" t="s">
        <v>8</v>
      </c>
      <c r="H197" s="1" t="s">
        <v>8</v>
      </c>
      <c r="I197" s="1" t="s">
        <v>129</v>
      </c>
      <c r="J197" s="1"/>
      <c r="K197" s="3"/>
      <c r="L197" s="3">
        <f>18000+165000+47000-J197</f>
        <v>230000</v>
      </c>
      <c r="M197" s="3"/>
      <c r="N197" s="70"/>
      <c r="O197" s="3"/>
      <c r="P197" s="3">
        <f t="shared" si="1"/>
        <v>18000</v>
      </c>
      <c r="Q197" s="25">
        <f t="shared" si="2"/>
        <v>212000</v>
      </c>
      <c r="R197" s="1">
        <v>18000.0</v>
      </c>
      <c r="S197" s="1"/>
      <c r="T197" s="1"/>
      <c r="U197" s="1"/>
      <c r="V197" s="1" t="s">
        <v>423</v>
      </c>
      <c r="W197" s="1"/>
      <c r="X197" s="1"/>
      <c r="Y197" s="1"/>
      <c r="Z197" s="1"/>
      <c r="AA197" s="1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</row>
    <row r="198">
      <c r="A198" s="3"/>
      <c r="B198" s="1"/>
      <c r="C198" s="3"/>
      <c r="D198" s="105">
        <v>5.60971846E8</v>
      </c>
      <c r="E198" s="70"/>
      <c r="F198" s="1" t="s">
        <v>424</v>
      </c>
      <c r="G198" s="1" t="s">
        <v>115</v>
      </c>
      <c r="H198" s="1" t="s">
        <v>27</v>
      </c>
      <c r="I198" s="3"/>
      <c r="J198" s="1">
        <f>5000+5000+20500</f>
        <v>30500</v>
      </c>
      <c r="K198" s="3"/>
      <c r="L198" s="3">
        <f>25000+205000+35000-J198</f>
        <v>234500</v>
      </c>
      <c r="M198" s="3"/>
      <c r="N198" s="70"/>
      <c r="O198" s="3"/>
      <c r="P198" s="3">
        <f t="shared" si="1"/>
        <v>234500</v>
      </c>
      <c r="Q198" s="25">
        <f t="shared" si="2"/>
        <v>0</v>
      </c>
      <c r="R198" s="1">
        <v>25000.0</v>
      </c>
      <c r="S198" s="1">
        <v>66500.0</v>
      </c>
      <c r="T198" s="1">
        <v>71500.0</v>
      </c>
      <c r="U198" s="1">
        <v>71500.0</v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</row>
    <row r="199">
      <c r="A199" s="3"/>
      <c r="B199" s="3"/>
      <c r="C199" s="3"/>
      <c r="D199" s="105">
        <v>5.60971846E8</v>
      </c>
      <c r="E199" s="70"/>
      <c r="F199" s="1" t="s">
        <v>425</v>
      </c>
      <c r="G199" s="1" t="s">
        <v>144</v>
      </c>
      <c r="H199" s="1" t="s">
        <v>52</v>
      </c>
      <c r="I199" s="3"/>
      <c r="J199" s="3">
        <f>5000+32000+10000</f>
        <v>47000</v>
      </c>
      <c r="K199" s="3"/>
      <c r="L199" s="3">
        <f t="shared" ref="L199:L200" si="16">25000+320000-J199</f>
        <v>298000</v>
      </c>
      <c r="M199" s="3"/>
      <c r="N199" s="70"/>
      <c r="O199" s="3"/>
      <c r="P199" s="3">
        <f t="shared" si="1"/>
        <v>298000</v>
      </c>
      <c r="Q199" s="25">
        <f t="shared" si="2"/>
        <v>0</v>
      </c>
      <c r="R199" s="1">
        <v>25000.0</v>
      </c>
      <c r="S199" s="1">
        <v>81000.0</v>
      </c>
      <c r="T199" s="1">
        <v>96000.0</v>
      </c>
      <c r="U199" s="1">
        <v>96000.0</v>
      </c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</row>
    <row r="200">
      <c r="A200" s="3"/>
      <c r="B200" s="1"/>
      <c r="C200" s="3"/>
      <c r="D200" s="113">
        <v>5.41053256E8</v>
      </c>
      <c r="E200" s="70"/>
      <c r="F200" s="1" t="s">
        <v>426</v>
      </c>
      <c r="G200" s="1" t="s">
        <v>144</v>
      </c>
      <c r="H200" s="1" t="s">
        <v>52</v>
      </c>
      <c r="I200" s="3"/>
      <c r="J200" s="1">
        <v>10000.0</v>
      </c>
      <c r="K200" s="3"/>
      <c r="L200" s="3">
        <f t="shared" si="16"/>
        <v>335000</v>
      </c>
      <c r="M200" s="3"/>
      <c r="N200" s="70"/>
      <c r="O200" s="3"/>
      <c r="P200" s="3">
        <f t="shared" si="1"/>
        <v>143000</v>
      </c>
      <c r="Q200" s="25">
        <f t="shared" si="2"/>
        <v>192000</v>
      </c>
      <c r="R200" s="1">
        <v>25000.0</v>
      </c>
      <c r="S200" s="1">
        <v>118000.0</v>
      </c>
      <c r="T200" s="1"/>
      <c r="U200" s="1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</row>
    <row r="201">
      <c r="A201" s="3"/>
      <c r="B201" s="3"/>
      <c r="C201" s="3"/>
      <c r="D201" s="122" t="s">
        <v>427</v>
      </c>
      <c r="E201" s="105" t="s">
        <v>166</v>
      </c>
      <c r="F201" s="1" t="s">
        <v>428</v>
      </c>
      <c r="G201" s="1" t="s">
        <v>115</v>
      </c>
      <c r="H201" s="1" t="s">
        <v>17</v>
      </c>
      <c r="I201" s="3"/>
      <c r="J201" s="3"/>
      <c r="K201" s="3"/>
      <c r="L201" s="3">
        <f t="shared" ref="L201:L202" si="17">25000+185000+35000-J201</f>
        <v>245000</v>
      </c>
      <c r="M201" s="3"/>
      <c r="N201" s="105"/>
      <c r="O201" s="1"/>
      <c r="P201" s="3">
        <f t="shared" si="1"/>
        <v>25000</v>
      </c>
      <c r="Q201" s="25">
        <f t="shared" si="2"/>
        <v>220000</v>
      </c>
      <c r="R201" s="1">
        <v>25000.0</v>
      </c>
      <c r="S201" s="1"/>
      <c r="T201" s="1"/>
      <c r="U201" s="1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</row>
    <row r="202">
      <c r="A202" s="3"/>
      <c r="B202" s="1"/>
      <c r="C202" s="3"/>
      <c r="D202" s="105">
        <v>5.56241098E8</v>
      </c>
      <c r="E202" s="105" t="s">
        <v>166</v>
      </c>
      <c r="F202" s="1" t="s">
        <v>429</v>
      </c>
      <c r="G202" s="1" t="s">
        <v>115</v>
      </c>
      <c r="H202" s="1" t="s">
        <v>17</v>
      </c>
      <c r="I202" s="3"/>
      <c r="J202" s="3"/>
      <c r="K202" s="3"/>
      <c r="L202" s="3">
        <f t="shared" si="17"/>
        <v>245000</v>
      </c>
      <c r="M202" s="3"/>
      <c r="N202" s="70"/>
      <c r="O202" s="3"/>
      <c r="P202" s="3">
        <f t="shared" si="1"/>
        <v>25000</v>
      </c>
      <c r="Q202" s="25">
        <f t="shared" si="2"/>
        <v>220000</v>
      </c>
      <c r="R202" s="1">
        <v>25000.0</v>
      </c>
      <c r="S202" s="1"/>
      <c r="T202" s="1"/>
      <c r="U202" s="1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</row>
    <row r="203">
      <c r="A203" s="3"/>
      <c r="B203" s="1"/>
      <c r="C203" s="3"/>
      <c r="D203" s="105">
        <v>5.42293583E8</v>
      </c>
      <c r="E203" s="70"/>
      <c r="F203" s="1" t="s">
        <v>430</v>
      </c>
      <c r="G203" s="1" t="s">
        <v>115</v>
      </c>
      <c r="H203" s="1" t="s">
        <v>17</v>
      </c>
      <c r="I203" s="1" t="s">
        <v>129</v>
      </c>
      <c r="J203" s="1">
        <v>18000.0</v>
      </c>
      <c r="K203" s="3"/>
      <c r="L203" s="3">
        <f>25000+55000+185000+35000-J203</f>
        <v>282000</v>
      </c>
      <c r="M203" s="3"/>
      <c r="N203" s="70"/>
      <c r="O203" s="3"/>
      <c r="P203" s="3">
        <f t="shared" si="1"/>
        <v>126000</v>
      </c>
      <c r="Q203" s="25">
        <f t="shared" si="2"/>
        <v>156000</v>
      </c>
      <c r="R203" s="1">
        <v>25000.0</v>
      </c>
      <c r="S203" s="1">
        <v>71000.0</v>
      </c>
      <c r="T203" s="1"/>
      <c r="U203" s="1"/>
      <c r="V203" s="1" t="s">
        <v>53</v>
      </c>
      <c r="W203" s="1">
        <v>30000.0</v>
      </c>
      <c r="X203" s="1"/>
      <c r="Y203" s="1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</row>
    <row r="204">
      <c r="A204" s="1"/>
      <c r="B204" s="3"/>
      <c r="C204" s="3"/>
      <c r="D204" s="105">
        <v>6.62103351E8</v>
      </c>
      <c r="E204" s="70"/>
      <c r="F204" s="1" t="s">
        <v>431</v>
      </c>
      <c r="G204" s="1" t="s">
        <v>144</v>
      </c>
      <c r="H204" s="1" t="s">
        <v>49</v>
      </c>
      <c r="I204" s="3"/>
      <c r="J204" s="1">
        <v>10000.0</v>
      </c>
      <c r="K204" s="3"/>
      <c r="L204" s="3">
        <f>25000+305000-J204</f>
        <v>320000</v>
      </c>
      <c r="M204" s="3"/>
      <c r="N204" s="70"/>
      <c r="O204" s="3"/>
      <c r="P204" s="3">
        <f t="shared" si="1"/>
        <v>25000</v>
      </c>
      <c r="Q204" s="25">
        <f t="shared" si="2"/>
        <v>295000</v>
      </c>
      <c r="R204" s="1">
        <v>25000.0</v>
      </c>
      <c r="S204" s="1"/>
      <c r="T204" s="1"/>
      <c r="U204" s="1"/>
      <c r="V204" s="3"/>
      <c r="W204" s="3"/>
      <c r="X204" s="1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</row>
    <row r="205">
      <c r="A205" s="3"/>
      <c r="B205" s="3"/>
      <c r="C205" s="3"/>
      <c r="D205" s="105">
        <v>6.61128618E8</v>
      </c>
      <c r="E205" s="70"/>
      <c r="F205" s="1" t="s">
        <v>432</v>
      </c>
      <c r="G205" s="1" t="s">
        <v>115</v>
      </c>
      <c r="H205" s="1" t="s">
        <v>41</v>
      </c>
      <c r="I205" s="3"/>
      <c r="J205" s="1">
        <v>18000.0</v>
      </c>
      <c r="K205" s="3"/>
      <c r="L205" s="3">
        <f>25000+230000+35000-J205</f>
        <v>272000</v>
      </c>
      <c r="M205" s="3"/>
      <c r="N205" s="70"/>
      <c r="O205" s="3"/>
      <c r="P205" s="3">
        <f t="shared" si="1"/>
        <v>114000</v>
      </c>
      <c r="Q205" s="25">
        <f t="shared" si="2"/>
        <v>158000</v>
      </c>
      <c r="R205" s="1">
        <v>25000.0</v>
      </c>
      <c r="S205" s="3">
        <f>92000+15000-18000</f>
        <v>89000</v>
      </c>
      <c r="T205" s="1"/>
      <c r="U205" s="1"/>
      <c r="V205" s="3"/>
      <c r="W205" s="3"/>
      <c r="X205" s="1"/>
      <c r="Y205" s="1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</row>
    <row r="206">
      <c r="A206" s="1"/>
      <c r="B206" s="3"/>
      <c r="C206" s="3"/>
      <c r="D206" s="127">
        <v>7.70262354E8</v>
      </c>
      <c r="E206" s="70"/>
      <c r="F206" s="1" t="s">
        <v>433</v>
      </c>
      <c r="G206" s="1" t="s">
        <v>115</v>
      </c>
      <c r="H206" s="1" t="s">
        <v>41</v>
      </c>
      <c r="I206" s="1"/>
      <c r="J206" s="1">
        <v>67000.0</v>
      </c>
      <c r="K206" s="3"/>
      <c r="L206" s="3">
        <f>290000-J206</f>
        <v>223000</v>
      </c>
      <c r="M206" s="3"/>
      <c r="N206" s="105"/>
      <c r="O206" s="1"/>
      <c r="P206" s="3">
        <f t="shared" si="1"/>
        <v>65000</v>
      </c>
      <c r="Q206" s="25">
        <f t="shared" si="2"/>
        <v>158000</v>
      </c>
      <c r="R206" s="1">
        <v>25000.0</v>
      </c>
      <c r="S206" s="1">
        <f>92000+15000-J206</f>
        <v>40000</v>
      </c>
      <c r="T206" s="1"/>
      <c r="U206" s="1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</row>
    <row r="207">
      <c r="A207" s="3"/>
      <c r="B207" s="3"/>
      <c r="C207" s="3"/>
      <c r="D207" s="127">
        <v>7.70262354E8</v>
      </c>
      <c r="E207" s="70"/>
      <c r="F207" s="1" t="s">
        <v>434</v>
      </c>
      <c r="G207" s="1" t="s">
        <v>171</v>
      </c>
      <c r="H207" s="1" t="s">
        <v>172</v>
      </c>
      <c r="I207" s="3"/>
      <c r="J207" s="1">
        <v>67300.0</v>
      </c>
      <c r="K207" s="3"/>
      <c r="L207" s="1">
        <f>395000-J207</f>
        <v>327700</v>
      </c>
      <c r="M207" s="3"/>
      <c r="N207" s="70"/>
      <c r="O207" s="3"/>
      <c r="P207" s="3">
        <f t="shared" si="1"/>
        <v>180000</v>
      </c>
      <c r="Q207" s="25">
        <f t="shared" si="2"/>
        <v>147700</v>
      </c>
      <c r="R207" s="1">
        <v>30000.0</v>
      </c>
      <c r="S207" s="1">
        <f>146000-J207</f>
        <v>78700</v>
      </c>
      <c r="T207" s="1">
        <v>71300.0</v>
      </c>
      <c r="U207" s="1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</row>
    <row r="208">
      <c r="A208" s="3"/>
      <c r="B208" s="3"/>
      <c r="C208" s="3"/>
      <c r="D208" s="127">
        <v>7.70262354E8</v>
      </c>
      <c r="E208" s="70"/>
      <c r="F208" s="1" t="s">
        <v>435</v>
      </c>
      <c r="G208" s="1" t="s">
        <v>144</v>
      </c>
      <c r="H208" s="1" t="s">
        <v>58</v>
      </c>
      <c r="I208" s="3"/>
      <c r="J208" s="1">
        <v>67500.0</v>
      </c>
      <c r="K208" s="3"/>
      <c r="L208" s="1">
        <f>370000-J208</f>
        <v>302500</v>
      </c>
      <c r="M208" s="3"/>
      <c r="N208" s="70"/>
      <c r="O208" s="3"/>
      <c r="P208" s="3">
        <f t="shared" si="1"/>
        <v>208000</v>
      </c>
      <c r="Q208" s="25">
        <f t="shared" si="2"/>
        <v>94500</v>
      </c>
      <c r="R208" s="1">
        <v>30000.0</v>
      </c>
      <c r="S208" s="1">
        <f>136000-J208</f>
        <v>68500</v>
      </c>
      <c r="T208" s="1">
        <v>109500.0</v>
      </c>
      <c r="U208" s="1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</row>
    <row r="209">
      <c r="A209" s="3"/>
      <c r="B209" s="1"/>
      <c r="C209" s="3"/>
      <c r="D209" s="105">
        <v>7.70359659E8</v>
      </c>
      <c r="E209" s="105" t="s">
        <v>166</v>
      </c>
      <c r="F209" s="1" t="s">
        <v>436</v>
      </c>
      <c r="G209" s="1" t="s">
        <v>115</v>
      </c>
      <c r="H209" s="1" t="s">
        <v>17</v>
      </c>
      <c r="I209" s="3"/>
      <c r="J209" s="3">
        <f>18000+24500</f>
        <v>42500</v>
      </c>
      <c r="K209" s="3"/>
      <c r="L209" s="3">
        <f>25000+185000+35000-J209</f>
        <v>202500</v>
      </c>
      <c r="M209" s="3"/>
      <c r="N209" s="70"/>
      <c r="O209" s="3"/>
      <c r="P209" s="3">
        <f t="shared" si="1"/>
        <v>202500</v>
      </c>
      <c r="Q209" s="25">
        <f t="shared" si="2"/>
        <v>0</v>
      </c>
      <c r="R209" s="1"/>
      <c r="S209" s="1">
        <v>55500.0</v>
      </c>
      <c r="T209" s="1">
        <v>73500.0</v>
      </c>
      <c r="U209" s="1">
        <v>73500.0</v>
      </c>
      <c r="V209" s="1"/>
      <c r="W209" s="3"/>
      <c r="X209" s="1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</row>
    <row r="210">
      <c r="A210" s="1"/>
      <c r="B210" s="3"/>
      <c r="C210" s="3"/>
      <c r="D210" s="128">
        <v>5.53010598E8</v>
      </c>
      <c r="E210" s="70"/>
      <c r="F210" s="1" t="s">
        <v>437</v>
      </c>
      <c r="G210" s="1" t="s">
        <v>115</v>
      </c>
      <c r="H210" s="1" t="s">
        <v>27</v>
      </c>
      <c r="I210" s="3"/>
      <c r="J210" s="1">
        <v>25500.0</v>
      </c>
      <c r="K210" s="3"/>
      <c r="L210" s="3">
        <f>25000+205000+35000-J210</f>
        <v>239500</v>
      </c>
      <c r="M210" s="3"/>
      <c r="N210" s="70"/>
      <c r="O210" s="3"/>
      <c r="P210" s="3">
        <f t="shared" si="1"/>
        <v>239500</v>
      </c>
      <c r="Q210" s="25">
        <f t="shared" si="2"/>
        <v>0</v>
      </c>
      <c r="R210" s="1">
        <v>25000.0</v>
      </c>
      <c r="S210" s="1">
        <v>71500.0</v>
      </c>
      <c r="T210" s="1">
        <v>71500.0</v>
      </c>
      <c r="U210" s="1">
        <v>71500.0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</row>
    <row r="211">
      <c r="A211" s="1"/>
      <c r="B211" s="1"/>
      <c r="C211" s="3"/>
      <c r="D211" s="105">
        <v>6.61763748E8</v>
      </c>
      <c r="E211" s="70"/>
      <c r="F211" s="1" t="s">
        <v>438</v>
      </c>
      <c r="G211" s="1" t="s">
        <v>144</v>
      </c>
      <c r="H211" s="1" t="s">
        <v>49</v>
      </c>
      <c r="I211" s="3"/>
      <c r="J211" s="1">
        <f>10000+5000+10000+30500</f>
        <v>55500</v>
      </c>
      <c r="K211" s="3"/>
      <c r="L211" s="3">
        <f>25000+305000-J211</f>
        <v>274500</v>
      </c>
      <c r="M211" s="3"/>
      <c r="N211" s="70"/>
      <c r="O211" s="1"/>
      <c r="P211" s="3">
        <f t="shared" si="1"/>
        <v>127500</v>
      </c>
      <c r="Q211" s="25">
        <f t="shared" si="2"/>
        <v>147000</v>
      </c>
      <c r="R211" s="1">
        <v>25000.0</v>
      </c>
      <c r="S211" s="1">
        <f>122000-J211</f>
        <v>66500</v>
      </c>
      <c r="T211" s="1">
        <v>36000.0</v>
      </c>
      <c r="U211" s="1"/>
      <c r="V211" s="3"/>
      <c r="W211" s="3"/>
      <c r="X211" s="1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</row>
    <row r="212">
      <c r="A212" s="3"/>
      <c r="B212" s="3"/>
      <c r="C212" s="3"/>
      <c r="D212" s="105">
        <v>6.61763748E8</v>
      </c>
      <c r="E212" s="70"/>
      <c r="F212" s="1" t="s">
        <v>439</v>
      </c>
      <c r="G212" s="1" t="s">
        <v>115</v>
      </c>
      <c r="H212" s="1" t="s">
        <v>17</v>
      </c>
      <c r="I212" s="3"/>
      <c r="J212" s="3">
        <f>10000+8000+5000+18500</f>
        <v>41500</v>
      </c>
      <c r="K212" s="3"/>
      <c r="L212" s="3">
        <f>25000+185000+35000-J212</f>
        <v>203500</v>
      </c>
      <c r="M212" s="3"/>
      <c r="N212" s="70"/>
      <c r="O212" s="3"/>
      <c r="P212" s="3">
        <f t="shared" si="1"/>
        <v>72500</v>
      </c>
      <c r="Q212" s="25">
        <f t="shared" si="2"/>
        <v>131000</v>
      </c>
      <c r="R212" s="1">
        <v>25000.0</v>
      </c>
      <c r="S212" s="1">
        <f>74000+15000-J212</f>
        <v>47500</v>
      </c>
      <c r="T212" s="1"/>
      <c r="U212" s="1"/>
      <c r="V212" s="3"/>
      <c r="W212" s="1"/>
      <c r="X212" s="1"/>
      <c r="Y212" s="1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</row>
    <row r="213">
      <c r="A213" s="1"/>
      <c r="B213" s="3"/>
      <c r="C213" s="3"/>
      <c r="D213" s="70"/>
      <c r="E213" s="70"/>
      <c r="F213" s="1" t="s">
        <v>440</v>
      </c>
      <c r="G213" s="1" t="s">
        <v>144</v>
      </c>
      <c r="H213" s="1" t="s">
        <v>49</v>
      </c>
      <c r="I213" s="1"/>
      <c r="J213" s="1">
        <f>10000+30500+15200+5000</f>
        <v>60700</v>
      </c>
      <c r="K213" s="3"/>
      <c r="L213" s="3">
        <f>25000+305000-J213</f>
        <v>269300</v>
      </c>
      <c r="M213" s="3"/>
      <c r="N213" s="70"/>
      <c r="O213" s="3"/>
      <c r="P213" s="3">
        <f t="shared" si="1"/>
        <v>86300</v>
      </c>
      <c r="Q213" s="25">
        <f t="shared" si="2"/>
        <v>183000</v>
      </c>
      <c r="R213" s="1">
        <v>25000.0</v>
      </c>
      <c r="S213" s="1">
        <f>122000-J213</f>
        <v>61300</v>
      </c>
      <c r="T213" s="1"/>
      <c r="U213" s="1"/>
      <c r="V213" s="3"/>
      <c r="W213" s="3"/>
      <c r="X213" s="1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</row>
    <row r="214">
      <c r="A214" s="3"/>
      <c r="B214" s="3"/>
      <c r="C214" s="3"/>
      <c r="D214" s="129"/>
      <c r="E214" s="70"/>
      <c r="F214" s="1" t="s">
        <v>441</v>
      </c>
      <c r="G214" s="1" t="s">
        <v>115</v>
      </c>
      <c r="H214" s="1" t="s">
        <v>35</v>
      </c>
      <c r="I214" s="3"/>
      <c r="J214" s="1">
        <f>22000+5000+13000+11000+27800</f>
        <v>78800</v>
      </c>
      <c r="K214" s="3"/>
      <c r="L214" s="3">
        <f>25000+220000+35000-J214</f>
        <v>201200</v>
      </c>
      <c r="M214" s="3"/>
      <c r="N214" s="105"/>
      <c r="O214" s="1"/>
      <c r="P214" s="3">
        <f t="shared" si="1"/>
        <v>127200</v>
      </c>
      <c r="Q214" s="25">
        <f t="shared" si="2"/>
        <v>74000</v>
      </c>
      <c r="R214" s="1">
        <v>25000.0</v>
      </c>
      <c r="S214" s="1">
        <f>88000+15000-J214</f>
        <v>24200</v>
      </c>
      <c r="T214" s="1">
        <v>78000.0</v>
      </c>
      <c r="U214" s="1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</row>
    <row r="215">
      <c r="A215" s="1"/>
      <c r="B215" s="3"/>
      <c r="C215" s="3"/>
      <c r="D215" s="70"/>
      <c r="E215" s="70"/>
      <c r="F215" s="1" t="s">
        <v>442</v>
      </c>
      <c r="G215" s="1" t="s">
        <v>115</v>
      </c>
      <c r="H215" s="1" t="s">
        <v>27</v>
      </c>
      <c r="I215" s="3"/>
      <c r="J215" s="1">
        <f>5000+20500+10000</f>
        <v>35500</v>
      </c>
      <c r="K215" s="1"/>
      <c r="L215" s="3">
        <f>25000+205000+35000-J215</f>
        <v>229500</v>
      </c>
      <c r="M215" s="3"/>
      <c r="N215" s="70"/>
      <c r="O215" s="3"/>
      <c r="P215" s="3">
        <f t="shared" si="1"/>
        <v>86500</v>
      </c>
      <c r="Q215" s="25">
        <f t="shared" si="2"/>
        <v>143000</v>
      </c>
      <c r="R215" s="1">
        <v>25000.0</v>
      </c>
      <c r="S215" s="1">
        <f>82000+15000-J215</f>
        <v>61500</v>
      </c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107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</row>
    <row r="216">
      <c r="A216" s="121"/>
      <c r="B216" s="1"/>
      <c r="C216" s="3"/>
      <c r="D216" s="105">
        <v>6.97350066E8</v>
      </c>
      <c r="E216" s="70"/>
      <c r="F216" s="1" t="s">
        <v>443</v>
      </c>
      <c r="G216" s="1" t="s">
        <v>115</v>
      </c>
      <c r="H216" s="1" t="s">
        <v>41</v>
      </c>
      <c r="I216" s="3"/>
      <c r="J216" s="1">
        <v>5000.0</v>
      </c>
      <c r="K216" s="3"/>
      <c r="L216" s="3">
        <f>25000+230000+35000-J216</f>
        <v>285000</v>
      </c>
      <c r="M216" s="3"/>
      <c r="N216" s="70"/>
      <c r="O216" s="3"/>
      <c r="P216" s="3">
        <f t="shared" si="1"/>
        <v>40000</v>
      </c>
      <c r="Q216" s="25">
        <f t="shared" si="2"/>
        <v>245000</v>
      </c>
      <c r="R216" s="1">
        <v>25000.0</v>
      </c>
      <c r="S216" s="1">
        <v>15000.0</v>
      </c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</row>
    <row r="217">
      <c r="A217" s="3"/>
      <c r="B217" s="3"/>
      <c r="C217" s="3"/>
      <c r="D217" s="105">
        <v>6.97350066E8</v>
      </c>
      <c r="E217" s="70"/>
      <c r="F217" s="1" t="s">
        <v>444</v>
      </c>
      <c r="G217" s="1" t="s">
        <v>115</v>
      </c>
      <c r="H217" s="1" t="s">
        <v>27</v>
      </c>
      <c r="I217" s="3"/>
      <c r="J217" s="1">
        <v>5000.0</v>
      </c>
      <c r="K217" s="3"/>
      <c r="L217" s="3">
        <f>25000+205000+35000-J217</f>
        <v>260000</v>
      </c>
      <c r="M217" s="3"/>
      <c r="N217" s="70"/>
      <c r="O217" s="3"/>
      <c r="P217" s="3">
        <f t="shared" si="1"/>
        <v>25000</v>
      </c>
      <c r="Q217" s="25">
        <f t="shared" si="2"/>
        <v>235000</v>
      </c>
      <c r="R217" s="1">
        <v>25000.0</v>
      </c>
      <c r="S217" s="1"/>
      <c r="T217" s="1"/>
      <c r="U217" s="1"/>
      <c r="V217" s="1"/>
      <c r="W217" s="3"/>
      <c r="X217" s="1"/>
      <c r="Y217" s="1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</row>
    <row r="218">
      <c r="A218" s="3"/>
      <c r="B218" s="3"/>
      <c r="C218" s="3"/>
      <c r="D218" s="105">
        <v>6.97350066E8</v>
      </c>
      <c r="E218" s="70"/>
      <c r="F218" s="1" t="s">
        <v>445</v>
      </c>
      <c r="G218" s="1" t="s">
        <v>171</v>
      </c>
      <c r="H218" s="1" t="s">
        <v>198</v>
      </c>
      <c r="I218" s="3"/>
      <c r="J218" s="1">
        <f>5000+17000</f>
        <v>22000</v>
      </c>
      <c r="K218" s="3"/>
      <c r="L218" s="3">
        <f>25000+355000-J218</f>
        <v>358000</v>
      </c>
      <c r="M218" s="3"/>
      <c r="N218" s="70"/>
      <c r="O218" s="3"/>
      <c r="P218" s="3">
        <f t="shared" si="1"/>
        <v>25000</v>
      </c>
      <c r="Q218" s="25">
        <f t="shared" si="2"/>
        <v>333000</v>
      </c>
      <c r="R218" s="1">
        <v>25000.0</v>
      </c>
      <c r="S218" s="1"/>
      <c r="T218" s="1"/>
      <c r="U218" s="1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</row>
    <row r="219">
      <c r="A219" s="1"/>
      <c r="B219" s="1"/>
      <c r="C219" s="3"/>
      <c r="D219" s="105">
        <v>6.58702416E8</v>
      </c>
      <c r="E219" s="105"/>
      <c r="F219" s="1" t="s">
        <v>446</v>
      </c>
      <c r="G219" s="1" t="s">
        <v>144</v>
      </c>
      <c r="H219" s="1" t="s">
        <v>56</v>
      </c>
      <c r="I219" s="1"/>
      <c r="J219" s="1"/>
      <c r="K219" s="3"/>
      <c r="L219" s="3">
        <f>25000+330000-J219</f>
        <v>355000</v>
      </c>
      <c r="M219" s="3"/>
      <c r="N219" s="70"/>
      <c r="O219" s="3"/>
      <c r="P219" s="3">
        <f t="shared" si="1"/>
        <v>25000</v>
      </c>
      <c r="Q219" s="25">
        <f t="shared" si="2"/>
        <v>330000</v>
      </c>
      <c r="R219" s="1">
        <v>25000.0</v>
      </c>
      <c r="S219" s="1"/>
      <c r="T219" s="1"/>
      <c r="U219" s="1"/>
      <c r="V219" s="1"/>
      <c r="W219" s="1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107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</row>
    <row r="220">
      <c r="A220" s="3"/>
      <c r="B220" s="3"/>
      <c r="C220" s="3"/>
      <c r="D220" s="105">
        <v>5.56525074E8</v>
      </c>
      <c r="E220" s="105"/>
      <c r="F220" s="1" t="s">
        <v>447</v>
      </c>
      <c r="G220" s="1" t="s">
        <v>115</v>
      </c>
      <c r="H220" s="1" t="s">
        <v>46</v>
      </c>
      <c r="I220" s="1"/>
      <c r="J220" s="1"/>
      <c r="K220" s="3"/>
      <c r="L220" s="3">
        <f>30000+250000-J220+20000</f>
        <v>300000</v>
      </c>
      <c r="M220" s="3"/>
      <c r="N220" s="105"/>
      <c r="O220" s="1"/>
      <c r="P220" s="3">
        <f t="shared" si="1"/>
        <v>30000</v>
      </c>
      <c r="Q220" s="25">
        <f t="shared" si="2"/>
        <v>270000</v>
      </c>
      <c r="R220" s="1">
        <v>30000.0</v>
      </c>
      <c r="S220" s="1"/>
      <c r="T220" s="1"/>
      <c r="U220" s="1"/>
      <c r="V220" s="3"/>
      <c r="W220" s="1"/>
      <c r="X220" s="1"/>
      <c r="Y220" s="1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</row>
    <row r="221">
      <c r="A221" s="3"/>
      <c r="B221" s="3"/>
      <c r="C221" s="3"/>
      <c r="D221" s="130">
        <v>5.53551962E8</v>
      </c>
      <c r="E221" s="70"/>
      <c r="F221" s="105" t="s">
        <v>448</v>
      </c>
      <c r="G221" s="105" t="s">
        <v>115</v>
      </c>
      <c r="H221" s="105" t="s">
        <v>27</v>
      </c>
      <c r="I221" s="3"/>
      <c r="J221" s="1">
        <v>13000.0</v>
      </c>
      <c r="K221" s="3"/>
      <c r="L221" s="3">
        <f t="shared" ref="L221:L222" si="18">25000+220000+35000-J221</f>
        <v>267000</v>
      </c>
      <c r="M221" s="3"/>
      <c r="N221" s="70"/>
      <c r="O221" s="3"/>
      <c r="P221" s="3">
        <f t="shared" si="1"/>
        <v>115000</v>
      </c>
      <c r="Q221" s="25">
        <f t="shared" si="2"/>
        <v>152000</v>
      </c>
      <c r="R221" s="1">
        <v>25000.0</v>
      </c>
      <c r="S221" s="1">
        <f>88000+15000-J221</f>
        <v>90000</v>
      </c>
      <c r="T221" s="1"/>
      <c r="U221" s="1"/>
      <c r="V221" s="1"/>
      <c r="W221" s="1"/>
      <c r="X221" s="1"/>
      <c r="Y221" s="1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</row>
    <row r="222">
      <c r="A222" s="3"/>
      <c r="B222" s="3"/>
      <c r="C222" s="3"/>
      <c r="D222" s="105">
        <v>6.68517169E8</v>
      </c>
      <c r="E222" s="70"/>
      <c r="F222" s="105" t="s">
        <v>449</v>
      </c>
      <c r="G222" s="105" t="s">
        <v>115</v>
      </c>
      <c r="H222" s="105" t="s">
        <v>35</v>
      </c>
      <c r="I222" s="1"/>
      <c r="J222" s="3">
        <f>5000+13000+22000</f>
        <v>40000</v>
      </c>
      <c r="K222" s="3"/>
      <c r="L222" s="3">
        <f t="shared" si="18"/>
        <v>240000</v>
      </c>
      <c r="M222" s="3"/>
      <c r="N222" s="70"/>
      <c r="O222" s="3"/>
      <c r="P222" s="3">
        <f t="shared" si="1"/>
        <v>240000</v>
      </c>
      <c r="Q222" s="25">
        <f t="shared" si="2"/>
        <v>0</v>
      </c>
      <c r="R222" s="1">
        <v>25000.0</v>
      </c>
      <c r="S222" s="1">
        <v>63000.0</v>
      </c>
      <c r="T222" s="1">
        <v>76000.0</v>
      </c>
      <c r="U222" s="1">
        <v>76000.0</v>
      </c>
      <c r="V222" s="3"/>
      <c r="W222" s="3"/>
      <c r="X222" s="1"/>
      <c r="Y222" s="1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</row>
    <row r="223">
      <c r="A223" s="3"/>
      <c r="B223" s="3"/>
      <c r="C223" s="3"/>
      <c r="D223" s="105">
        <v>6.68517169E8</v>
      </c>
      <c r="E223" s="105" t="s">
        <v>166</v>
      </c>
      <c r="F223" s="105" t="s">
        <v>450</v>
      </c>
      <c r="G223" s="105" t="s">
        <v>115</v>
      </c>
      <c r="H223" s="105" t="s">
        <v>17</v>
      </c>
      <c r="I223" s="3"/>
      <c r="J223" s="1">
        <v>5000.0</v>
      </c>
      <c r="K223" s="3"/>
      <c r="L223" s="3">
        <f t="shared" ref="L223:L224" si="19">25000+185000+35000-J223</f>
        <v>240000</v>
      </c>
      <c r="M223" s="3"/>
      <c r="N223" s="70"/>
      <c r="O223" s="3"/>
      <c r="P223" s="3">
        <f t="shared" si="1"/>
        <v>109000</v>
      </c>
      <c r="Q223" s="25">
        <f t="shared" si="2"/>
        <v>131000</v>
      </c>
      <c r="R223" s="1">
        <v>25000.0</v>
      </c>
      <c r="S223" s="1">
        <v>84000.0</v>
      </c>
      <c r="T223" s="1"/>
      <c r="U223" s="1"/>
      <c r="V223" s="3"/>
      <c r="W223" s="1"/>
      <c r="X223" s="1"/>
      <c r="Y223" s="1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</row>
    <row r="224">
      <c r="A224" s="3"/>
      <c r="B224" s="1"/>
      <c r="C224" s="3"/>
      <c r="D224" s="105">
        <v>6.68517169E8</v>
      </c>
      <c r="E224" s="105" t="s">
        <v>166</v>
      </c>
      <c r="F224" s="105" t="s">
        <v>451</v>
      </c>
      <c r="G224" s="105" t="s">
        <v>115</v>
      </c>
      <c r="H224" s="105" t="s">
        <v>17</v>
      </c>
      <c r="I224" s="3"/>
      <c r="J224" s="1">
        <v>5000.0</v>
      </c>
      <c r="K224" s="3"/>
      <c r="L224" s="3">
        <f t="shared" si="19"/>
        <v>240000</v>
      </c>
      <c r="M224" s="3"/>
      <c r="N224" s="70"/>
      <c r="O224" s="3"/>
      <c r="P224" s="3">
        <f t="shared" si="1"/>
        <v>109000</v>
      </c>
      <c r="Q224" s="25">
        <f t="shared" si="2"/>
        <v>131000</v>
      </c>
      <c r="R224" s="1">
        <v>25000.0</v>
      </c>
      <c r="S224" s="1">
        <v>84000.0</v>
      </c>
      <c r="T224" s="1"/>
      <c r="U224" s="1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</row>
    <row r="225">
      <c r="A225" s="3"/>
      <c r="B225" s="1"/>
      <c r="C225" s="3"/>
      <c r="D225" s="113">
        <v>5.49638195E8</v>
      </c>
      <c r="E225" s="105" t="s">
        <v>166</v>
      </c>
      <c r="F225" s="105" t="s">
        <v>452</v>
      </c>
      <c r="G225" s="105" t="s">
        <v>171</v>
      </c>
      <c r="H225" s="105" t="s">
        <v>198</v>
      </c>
      <c r="I225" s="3"/>
      <c r="J225" s="3"/>
      <c r="K225" s="3"/>
      <c r="L225" s="3">
        <f>25000+355000-J225</f>
        <v>380000</v>
      </c>
      <c r="M225" s="3"/>
      <c r="N225" s="70"/>
      <c r="O225" s="3"/>
      <c r="P225" s="3">
        <f t="shared" si="1"/>
        <v>167000</v>
      </c>
      <c r="Q225" s="25">
        <f t="shared" si="2"/>
        <v>213000</v>
      </c>
      <c r="R225" s="1">
        <v>25000.0</v>
      </c>
      <c r="S225" s="1">
        <v>142000.0</v>
      </c>
      <c r="T225" s="1"/>
      <c r="U225" s="1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</row>
    <row r="226">
      <c r="A226" s="3"/>
      <c r="B226" s="3"/>
      <c r="C226" s="3"/>
      <c r="D226" s="131"/>
      <c r="E226" s="70"/>
      <c r="F226" s="105" t="s">
        <v>453</v>
      </c>
      <c r="G226" s="105" t="s">
        <v>115</v>
      </c>
      <c r="H226" s="105" t="s">
        <v>27</v>
      </c>
      <c r="I226" s="1" t="s">
        <v>129</v>
      </c>
      <c r="J226" s="3"/>
      <c r="K226" s="3"/>
      <c r="L226" s="3">
        <f>25000+205000+35000+52000-J226</f>
        <v>317000</v>
      </c>
      <c r="M226" s="1"/>
      <c r="N226" s="70"/>
      <c r="O226" s="3"/>
      <c r="P226" s="3">
        <f t="shared" si="1"/>
        <v>25000</v>
      </c>
      <c r="Q226" s="25">
        <f t="shared" si="2"/>
        <v>292000</v>
      </c>
      <c r="R226" s="1">
        <v>25000.0</v>
      </c>
      <c r="S226" s="1"/>
      <c r="T226" s="1"/>
      <c r="U226" s="1"/>
      <c r="V226" s="1" t="s">
        <v>47</v>
      </c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</row>
    <row r="227">
      <c r="A227" s="3"/>
      <c r="B227" s="3"/>
      <c r="C227" s="3"/>
      <c r="D227" s="105">
        <v>5.553180504E9</v>
      </c>
      <c r="E227" s="70"/>
      <c r="F227" s="105" t="s">
        <v>454</v>
      </c>
      <c r="G227" s="105" t="s">
        <v>144</v>
      </c>
      <c r="H227" s="105" t="s">
        <v>49</v>
      </c>
      <c r="I227" s="3"/>
      <c r="J227" s="3">
        <f>10000+10000+5000+30500</f>
        <v>55500</v>
      </c>
      <c r="K227" s="3"/>
      <c r="L227" s="3">
        <f>25000+305000-J227+55000</f>
        <v>329500</v>
      </c>
      <c r="M227" s="3"/>
      <c r="N227" s="70"/>
      <c r="O227" s="3"/>
      <c r="P227" s="3">
        <f t="shared" si="1"/>
        <v>246500</v>
      </c>
      <c r="Q227" s="25">
        <f t="shared" si="2"/>
        <v>83000</v>
      </c>
      <c r="R227" s="1">
        <v>25000.0</v>
      </c>
      <c r="S227" s="3">
        <f>122000-J227</f>
        <v>66500</v>
      </c>
      <c r="T227" s="1">
        <v>100000.0</v>
      </c>
      <c r="U227" s="1">
        <v>55000.0</v>
      </c>
      <c r="V227" s="1" t="s">
        <v>29</v>
      </c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</row>
    <row r="228">
      <c r="A228" s="3"/>
      <c r="B228" s="3"/>
      <c r="C228" s="3"/>
      <c r="D228" s="105">
        <v>5.553180504E9</v>
      </c>
      <c r="E228" s="70"/>
      <c r="F228" s="105" t="s">
        <v>455</v>
      </c>
      <c r="G228" s="105" t="s">
        <v>144</v>
      </c>
      <c r="H228" s="105" t="s">
        <v>52</v>
      </c>
      <c r="I228" s="3"/>
      <c r="J228" s="3">
        <f>10000+32000+5000</f>
        <v>47000</v>
      </c>
      <c r="K228" s="3"/>
      <c r="L228" s="3">
        <f>25000+320000-J228+ 55000</f>
        <v>353000</v>
      </c>
      <c r="M228" s="3"/>
      <c r="N228" s="70"/>
      <c r="O228" s="3"/>
      <c r="P228" s="3">
        <f t="shared" si="1"/>
        <v>206000</v>
      </c>
      <c r="Q228" s="25">
        <f t="shared" si="2"/>
        <v>147000</v>
      </c>
      <c r="R228" s="1">
        <v>25000.0</v>
      </c>
      <c r="S228" s="3">
        <f>128000-J228</f>
        <v>81000</v>
      </c>
      <c r="T228" s="1">
        <v>100000.0</v>
      </c>
      <c r="U228" s="3"/>
      <c r="V228" s="1" t="s">
        <v>29</v>
      </c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</row>
    <row r="229">
      <c r="A229" s="1"/>
      <c r="B229" s="3"/>
      <c r="C229" s="3"/>
      <c r="D229" s="105" t="s">
        <v>456</v>
      </c>
      <c r="E229" s="70"/>
      <c r="F229" s="105" t="s">
        <v>457</v>
      </c>
      <c r="G229" s="105" t="s">
        <v>115</v>
      </c>
      <c r="H229" s="105" t="s">
        <v>46</v>
      </c>
      <c r="I229" s="1" t="s">
        <v>129</v>
      </c>
      <c r="J229" s="3">
        <f>15000+5000+25000</f>
        <v>45000</v>
      </c>
      <c r="K229" s="3"/>
      <c r="L229" s="3">
        <f>30000+250000+20000+40000-J229</f>
        <v>295000</v>
      </c>
      <c r="M229" s="3"/>
      <c r="N229" s="105"/>
      <c r="O229" s="1"/>
      <c r="P229" s="3">
        <f t="shared" si="1"/>
        <v>183500</v>
      </c>
      <c r="Q229" s="25">
        <f t="shared" si="2"/>
        <v>111500</v>
      </c>
      <c r="R229" s="1">
        <v>30000.0</v>
      </c>
      <c r="S229" s="1">
        <f>110000-J229</f>
        <v>65000</v>
      </c>
      <c r="T229" s="1">
        <v>68500.0</v>
      </c>
      <c r="U229" s="1"/>
      <c r="V229" s="1" t="s">
        <v>5</v>
      </c>
      <c r="W229" s="1">
        <v>20000.0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</row>
    <row r="230">
      <c r="A230" s="3"/>
      <c r="B230" s="1"/>
      <c r="C230" s="3"/>
      <c r="D230" s="105" t="s">
        <v>456</v>
      </c>
      <c r="E230" s="70"/>
      <c r="F230" s="105" t="s">
        <v>458</v>
      </c>
      <c r="G230" s="105" t="s">
        <v>115</v>
      </c>
      <c r="H230" s="105" t="s">
        <v>27</v>
      </c>
      <c r="I230" s="1" t="s">
        <v>129</v>
      </c>
      <c r="J230" s="3">
        <f>5000+20500</f>
        <v>25500</v>
      </c>
      <c r="K230" s="3"/>
      <c r="L230" s="3">
        <f>25000+205000+35000+40000-J230</f>
        <v>279500</v>
      </c>
      <c r="M230" s="3"/>
      <c r="N230" s="70"/>
      <c r="O230" s="3"/>
      <c r="P230" s="3">
        <f t="shared" si="1"/>
        <v>116500</v>
      </c>
      <c r="Q230" s="25">
        <f t="shared" si="2"/>
        <v>163000</v>
      </c>
      <c r="R230" s="1">
        <v>25000.0</v>
      </c>
      <c r="S230" s="1">
        <f>82000+15000-J230</f>
        <v>71500</v>
      </c>
      <c r="T230" s="1"/>
      <c r="U230" s="1"/>
      <c r="V230" s="1" t="s">
        <v>5</v>
      </c>
      <c r="W230" s="1">
        <v>20000.0</v>
      </c>
      <c r="X230" s="1"/>
      <c r="Y230" s="1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</row>
    <row r="231">
      <c r="A231" s="3"/>
      <c r="B231" s="3"/>
      <c r="C231" s="3"/>
      <c r="D231" s="105">
        <v>5.41324865E8</v>
      </c>
      <c r="E231" s="70"/>
      <c r="F231" s="105" t="s">
        <v>459</v>
      </c>
      <c r="G231" s="105" t="s">
        <v>115</v>
      </c>
      <c r="H231" s="105" t="s">
        <v>46</v>
      </c>
      <c r="I231" s="3"/>
      <c r="J231" s="1">
        <v>5000.0</v>
      </c>
      <c r="K231" s="3"/>
      <c r="L231" s="3">
        <f>30000+250000+20000-J231</f>
        <v>295000</v>
      </c>
      <c r="M231" s="3"/>
      <c r="N231" s="70"/>
      <c r="O231" s="3"/>
      <c r="P231" s="3">
        <f t="shared" si="1"/>
        <v>30000</v>
      </c>
      <c r="Q231" s="25">
        <f t="shared" si="2"/>
        <v>265000</v>
      </c>
      <c r="R231" s="1">
        <v>30000.0</v>
      </c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</row>
    <row r="232">
      <c r="A232" s="3"/>
      <c r="B232" s="3"/>
      <c r="C232" s="3"/>
      <c r="D232" s="105">
        <v>5.41324865E8</v>
      </c>
      <c r="E232" s="70"/>
      <c r="F232" s="105" t="s">
        <v>460</v>
      </c>
      <c r="G232" s="105" t="s">
        <v>144</v>
      </c>
      <c r="H232" s="105" t="s">
        <v>52</v>
      </c>
      <c r="I232" s="3"/>
      <c r="J232" s="1">
        <v>5000.0</v>
      </c>
      <c r="K232" s="3"/>
      <c r="L232" s="3">
        <f>25000+320000-J232</f>
        <v>340000</v>
      </c>
      <c r="M232" s="3"/>
      <c r="N232" s="70"/>
      <c r="O232" s="3"/>
      <c r="P232" s="3">
        <f t="shared" si="1"/>
        <v>25000</v>
      </c>
      <c r="Q232" s="25">
        <f t="shared" si="2"/>
        <v>315000</v>
      </c>
      <c r="R232" s="1">
        <v>25000.0</v>
      </c>
      <c r="S232" s="3"/>
      <c r="T232" s="1"/>
      <c r="U232" s="1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</row>
    <row r="233">
      <c r="A233" s="3"/>
      <c r="B233" s="1"/>
      <c r="C233" s="3"/>
      <c r="D233" s="132">
        <v>5.59436333E8</v>
      </c>
      <c r="E233" s="105"/>
      <c r="F233" s="105" t="s">
        <v>461</v>
      </c>
      <c r="G233" s="105" t="s">
        <v>144</v>
      </c>
      <c r="H233" s="105" t="s">
        <v>56</v>
      </c>
      <c r="I233" s="1"/>
      <c r="J233" s="3"/>
      <c r="K233" s="3"/>
      <c r="L233" s="3">
        <f>25000+330000-J233</f>
        <v>355000</v>
      </c>
      <c r="M233" s="3"/>
      <c r="N233" s="105"/>
      <c r="O233" s="1"/>
      <c r="P233" s="3">
        <f t="shared" si="1"/>
        <v>66000</v>
      </c>
      <c r="Q233" s="25">
        <f t="shared" si="2"/>
        <v>289000</v>
      </c>
      <c r="R233" s="1">
        <v>25000.0</v>
      </c>
      <c r="S233" s="1">
        <v>41000.0</v>
      </c>
      <c r="T233" s="1"/>
      <c r="U233" s="1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</row>
    <row r="234">
      <c r="A234" s="1"/>
      <c r="B234" s="3"/>
      <c r="C234" s="1" t="s">
        <v>462</v>
      </c>
      <c r="D234" s="113" t="s">
        <v>463</v>
      </c>
      <c r="E234" s="70"/>
      <c r="F234" s="105" t="s">
        <v>464</v>
      </c>
      <c r="G234" s="105" t="s">
        <v>115</v>
      </c>
      <c r="H234" s="105" t="s">
        <v>41</v>
      </c>
      <c r="I234" s="1" t="s">
        <v>129</v>
      </c>
      <c r="J234" s="3">
        <f>23000+18000</f>
        <v>41000</v>
      </c>
      <c r="K234" s="3"/>
      <c r="L234" s="3">
        <f>25000+230000+35000+55000-J234</f>
        <v>304000</v>
      </c>
      <c r="M234" s="3"/>
      <c r="N234" s="70"/>
      <c r="O234" s="3"/>
      <c r="P234" s="3">
        <f t="shared" si="1"/>
        <v>304000</v>
      </c>
      <c r="Q234" s="25">
        <f t="shared" si="2"/>
        <v>0</v>
      </c>
      <c r="R234" s="1">
        <v>25000.0</v>
      </c>
      <c r="S234" s="1">
        <v>56000.0</v>
      </c>
      <c r="T234" s="1">
        <v>79000.0</v>
      </c>
      <c r="U234" s="1">
        <v>79000.0</v>
      </c>
      <c r="V234" s="1" t="s">
        <v>465</v>
      </c>
      <c r="W234" s="1">
        <v>30000.0</v>
      </c>
      <c r="X234" s="1">
        <v>20000.0</v>
      </c>
      <c r="Y234" s="1">
        <v>15000.0</v>
      </c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</row>
    <row r="235">
      <c r="A235" s="1"/>
      <c r="B235" s="3"/>
      <c r="C235" s="3"/>
      <c r="D235" s="105">
        <v>5.500675E8</v>
      </c>
      <c r="E235" s="70"/>
      <c r="F235" s="105" t="s">
        <v>466</v>
      </c>
      <c r="G235" s="105" t="s">
        <v>115</v>
      </c>
      <c r="H235" s="105" t="s">
        <v>46</v>
      </c>
      <c r="I235" s="3"/>
      <c r="J235" s="1">
        <v>63250.0</v>
      </c>
      <c r="K235" s="3"/>
      <c r="L235" s="3">
        <f>300000-J235</f>
        <v>236750</v>
      </c>
      <c r="M235" s="3"/>
      <c r="N235" s="70"/>
      <c r="O235" s="3"/>
      <c r="P235" s="3">
        <f t="shared" si="1"/>
        <v>266750</v>
      </c>
      <c r="Q235" s="25">
        <f t="shared" si="2"/>
        <v>-30000</v>
      </c>
      <c r="R235" s="1"/>
      <c r="S235" s="1">
        <v>66750.0</v>
      </c>
      <c r="T235" s="1">
        <v>100000.0</v>
      </c>
      <c r="U235" s="1">
        <v>100000.0</v>
      </c>
      <c r="V235" s="3"/>
      <c r="W235" s="1"/>
      <c r="X235" s="1"/>
      <c r="Y235" s="1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</row>
    <row r="236">
      <c r="A236" s="1"/>
      <c r="B236" s="3"/>
      <c r="C236" s="3"/>
      <c r="D236" s="105">
        <v>5.500675E8</v>
      </c>
      <c r="E236" s="70"/>
      <c r="F236" s="105" t="s">
        <v>467</v>
      </c>
      <c r="G236" s="105" t="s">
        <v>115</v>
      </c>
      <c r="H236" s="105" t="s">
        <v>41</v>
      </c>
      <c r="I236" s="1"/>
      <c r="J236" s="1">
        <v>63250.0</v>
      </c>
      <c r="K236" s="3"/>
      <c r="L236" s="1">
        <f>290000-J236</f>
        <v>226750</v>
      </c>
      <c r="M236" s="3"/>
      <c r="N236" s="70"/>
      <c r="O236" s="3"/>
      <c r="P236" s="3">
        <f t="shared" si="1"/>
        <v>226750</v>
      </c>
      <c r="Q236" s="25">
        <f t="shared" si="2"/>
        <v>0</v>
      </c>
      <c r="R236" s="1"/>
      <c r="S236" s="1">
        <v>26750.0</v>
      </c>
      <c r="T236" s="1">
        <v>100000.0</v>
      </c>
      <c r="U236" s="1">
        <v>100000.0</v>
      </c>
      <c r="V236" s="1"/>
      <c r="W236" s="1"/>
      <c r="X236" s="1"/>
      <c r="Y236" s="1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</row>
    <row r="237">
      <c r="A237" s="3"/>
      <c r="B237" s="3"/>
      <c r="C237" s="3"/>
      <c r="D237" s="105">
        <v>6.76670289E8</v>
      </c>
      <c r="E237" s="70"/>
      <c r="F237" s="1" t="s">
        <v>468</v>
      </c>
      <c r="G237" s="1" t="s">
        <v>469</v>
      </c>
      <c r="H237" s="1" t="s">
        <v>469</v>
      </c>
      <c r="I237" s="1"/>
      <c r="J237" s="1">
        <v>25000.0</v>
      </c>
      <c r="K237" s="3"/>
      <c r="L237" s="3">
        <f>228000-J237+40000</f>
        <v>243000</v>
      </c>
      <c r="M237" s="1"/>
      <c r="N237" s="70"/>
      <c r="O237" s="3"/>
      <c r="P237" s="3">
        <f t="shared" si="1"/>
        <v>106000</v>
      </c>
      <c r="Q237" s="25">
        <f t="shared" si="2"/>
        <v>137000</v>
      </c>
      <c r="R237" s="3"/>
      <c r="S237" s="1">
        <v>106000.0</v>
      </c>
      <c r="T237" s="1"/>
      <c r="U237" s="1"/>
      <c r="V237" s="3"/>
      <c r="W237" s="3"/>
      <c r="X237" s="1"/>
      <c r="Y237" s="1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</row>
    <row r="238">
      <c r="A238" s="1"/>
      <c r="B238" s="3"/>
      <c r="C238" s="3"/>
      <c r="D238" s="105" t="s">
        <v>470</v>
      </c>
      <c r="E238" s="70"/>
      <c r="F238" s="1" t="s">
        <v>471</v>
      </c>
      <c r="G238" s="1" t="s">
        <v>115</v>
      </c>
      <c r="H238" s="1" t="s">
        <v>35</v>
      </c>
      <c r="I238" s="3"/>
      <c r="J238" s="1">
        <f>13000+22000+5000</f>
        <v>40000</v>
      </c>
      <c r="K238" s="3"/>
      <c r="L238" s="3">
        <f>280000-J238</f>
        <v>240000</v>
      </c>
      <c r="M238" s="3"/>
      <c r="N238" s="70"/>
      <c r="O238" s="3"/>
      <c r="P238" s="3">
        <f t="shared" si="1"/>
        <v>240000</v>
      </c>
      <c r="Q238" s="25">
        <f t="shared" si="2"/>
        <v>0</v>
      </c>
      <c r="R238" s="1"/>
      <c r="S238" s="1">
        <v>240000.0</v>
      </c>
      <c r="T238" s="1"/>
      <c r="U238" s="1"/>
      <c r="V238" s="3"/>
      <c r="W238" s="107"/>
      <c r="X238" s="1"/>
      <c r="Y238" s="1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</row>
    <row r="239">
      <c r="A239" s="3"/>
      <c r="B239" s="3"/>
      <c r="C239" s="3"/>
      <c r="D239" s="105" t="s">
        <v>470</v>
      </c>
      <c r="E239" s="70"/>
      <c r="F239" s="1" t="s">
        <v>472</v>
      </c>
      <c r="G239" s="1" t="s">
        <v>144</v>
      </c>
      <c r="H239" s="1" t="s">
        <v>58</v>
      </c>
      <c r="I239" s="3"/>
      <c r="J239" s="1">
        <f>34000+20000+5000</f>
        <v>59000</v>
      </c>
      <c r="K239" s="3"/>
      <c r="L239" s="3">
        <f>370000-J239</f>
        <v>311000</v>
      </c>
      <c r="M239" s="3"/>
      <c r="N239" s="70"/>
      <c r="O239" s="3"/>
      <c r="P239" s="3">
        <f t="shared" si="1"/>
        <v>311000</v>
      </c>
      <c r="Q239" s="25">
        <f t="shared" si="2"/>
        <v>0</v>
      </c>
      <c r="R239" s="3"/>
      <c r="S239" s="1">
        <v>311000.0</v>
      </c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</row>
    <row r="240">
      <c r="A240" s="3"/>
      <c r="B240" s="1"/>
      <c r="C240" s="3"/>
      <c r="D240" s="122">
        <v>5.54733582E8</v>
      </c>
      <c r="E240" s="70"/>
      <c r="F240" s="1" t="s">
        <v>473</v>
      </c>
      <c r="G240" s="1" t="s">
        <v>144</v>
      </c>
      <c r="H240" s="1" t="s">
        <v>56</v>
      </c>
      <c r="I240" s="1" t="s">
        <v>129</v>
      </c>
      <c r="J240" s="1"/>
      <c r="K240" s="3"/>
      <c r="L240" s="3">
        <f>25000+330000-J240+40000</f>
        <v>395000</v>
      </c>
      <c r="M240" s="3"/>
      <c r="N240" s="70"/>
      <c r="O240" s="3"/>
      <c r="P240" s="3">
        <f t="shared" si="1"/>
        <v>25000</v>
      </c>
      <c r="Q240" s="25">
        <f t="shared" si="2"/>
        <v>370000</v>
      </c>
      <c r="R240" s="3"/>
      <c r="S240" s="1">
        <v>25000.0</v>
      </c>
      <c r="T240" s="1"/>
      <c r="U240" s="1"/>
      <c r="V240" s="1" t="s">
        <v>5</v>
      </c>
      <c r="W240" s="1"/>
      <c r="X240" s="1"/>
      <c r="Y240" s="1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</row>
    <row r="241">
      <c r="A241" s="3"/>
      <c r="B241" s="3"/>
      <c r="C241" s="3"/>
      <c r="D241" s="122">
        <v>5.54733582E8</v>
      </c>
      <c r="E241" s="70"/>
      <c r="F241" s="1" t="s">
        <v>474</v>
      </c>
      <c r="G241" s="1" t="s">
        <v>144</v>
      </c>
      <c r="H241" s="1" t="s">
        <v>56</v>
      </c>
      <c r="I241" s="3"/>
      <c r="J241" s="1"/>
      <c r="K241" s="3"/>
      <c r="L241" s="3">
        <f>25000+330000-J241</f>
        <v>355000</v>
      </c>
      <c r="M241" s="3"/>
      <c r="N241" s="70"/>
      <c r="O241" s="3"/>
      <c r="P241" s="3">
        <f t="shared" si="1"/>
        <v>25000</v>
      </c>
      <c r="Q241" s="25">
        <f t="shared" si="2"/>
        <v>330000</v>
      </c>
      <c r="R241" s="3"/>
      <c r="S241" s="1">
        <v>25000.0</v>
      </c>
      <c r="T241" s="3"/>
      <c r="U241" s="3"/>
      <c r="V241" s="1" t="s">
        <v>5</v>
      </c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</row>
    <row r="242">
      <c r="A242" s="3"/>
      <c r="B242" s="3"/>
      <c r="C242" s="3"/>
      <c r="D242" s="1">
        <v>5.54288142E8</v>
      </c>
      <c r="E242" s="3"/>
      <c r="F242" s="1" t="s">
        <v>466</v>
      </c>
      <c r="G242" s="1" t="s">
        <v>115</v>
      </c>
      <c r="H242" s="1" t="s">
        <v>43</v>
      </c>
      <c r="I242" s="3"/>
      <c r="J242" s="1">
        <v>45000.0</v>
      </c>
      <c r="K242" s="3"/>
      <c r="L242" s="3">
        <f>300000-J242</f>
        <v>255000</v>
      </c>
      <c r="M242" s="3"/>
      <c r="N242" s="70"/>
      <c r="O242" s="3"/>
      <c r="P242" s="3">
        <f t="shared" si="1"/>
        <v>255000</v>
      </c>
      <c r="Q242" s="25">
        <f t="shared" si="2"/>
        <v>0</v>
      </c>
      <c r="R242" s="1"/>
      <c r="S242" s="1">
        <v>75000.0</v>
      </c>
      <c r="T242" s="1">
        <v>90000.0</v>
      </c>
      <c r="U242" s="1">
        <v>90000.0</v>
      </c>
      <c r="V242" s="3"/>
      <c r="W242" s="1"/>
      <c r="X242" s="1"/>
      <c r="Y242" s="1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</row>
    <row r="243">
      <c r="A243" s="3"/>
      <c r="B243" s="3"/>
      <c r="C243" s="3"/>
      <c r="D243" s="113">
        <v>6.61923775E8</v>
      </c>
      <c r="E243" s="3"/>
      <c r="F243" s="1" t="s">
        <v>475</v>
      </c>
      <c r="G243" s="1" t="s">
        <v>115</v>
      </c>
      <c r="H243" s="1" t="s">
        <v>41</v>
      </c>
      <c r="I243" s="3"/>
      <c r="J243" s="1">
        <v>18000.0</v>
      </c>
      <c r="K243" s="3"/>
      <c r="L243" s="3">
        <f>285000-J243</f>
        <v>267000</v>
      </c>
      <c r="M243" s="3"/>
      <c r="N243" s="70"/>
      <c r="O243" s="3"/>
      <c r="P243" s="3">
        <f t="shared" si="1"/>
        <v>96000</v>
      </c>
      <c r="Q243" s="25">
        <f t="shared" si="2"/>
        <v>171000</v>
      </c>
      <c r="R243" s="1"/>
      <c r="S243" s="1">
        <v>96000.0</v>
      </c>
      <c r="T243" s="1"/>
      <c r="U243" s="1"/>
      <c r="V243" s="3"/>
      <c r="W243" s="3"/>
      <c r="X243" s="1"/>
      <c r="Y243" s="1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</row>
    <row r="244">
      <c r="A244" s="3"/>
      <c r="B244" s="1"/>
      <c r="C244" s="3"/>
      <c r="D244" s="122">
        <v>5.5090263E8</v>
      </c>
      <c r="E244" s="3"/>
      <c r="F244" s="1" t="s">
        <v>476</v>
      </c>
      <c r="G244" s="1" t="s">
        <v>144</v>
      </c>
      <c r="H244" s="1" t="s">
        <v>49</v>
      </c>
      <c r="I244" s="1" t="s">
        <v>129</v>
      </c>
      <c r="J244" s="1">
        <v>20000.0</v>
      </c>
      <c r="K244" s="3"/>
      <c r="L244" s="3">
        <f>55000+330000-J244</f>
        <v>365000</v>
      </c>
      <c r="M244" s="3"/>
      <c r="N244" s="70"/>
      <c r="O244" s="3"/>
      <c r="P244" s="3">
        <f t="shared" si="1"/>
        <v>127000</v>
      </c>
      <c r="Q244" s="25">
        <f t="shared" si="2"/>
        <v>238000</v>
      </c>
      <c r="R244" s="3"/>
      <c r="S244" s="1">
        <v>127000.0</v>
      </c>
      <c r="T244" s="1"/>
      <c r="U244" s="3"/>
      <c r="V244" s="1" t="s">
        <v>423</v>
      </c>
      <c r="W244" s="3"/>
      <c r="X244" s="1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</row>
    <row r="245">
      <c r="A245" s="3"/>
      <c r="B245" s="3"/>
      <c r="C245" s="3"/>
      <c r="D245" s="3"/>
      <c r="E245" s="3"/>
      <c r="F245" s="1" t="s">
        <v>477</v>
      </c>
      <c r="G245" s="1" t="s">
        <v>115</v>
      </c>
      <c r="H245" s="1" t="s">
        <v>27</v>
      </c>
      <c r="I245" s="1"/>
      <c r="J245" s="1">
        <v>25500.0</v>
      </c>
      <c r="K245" s="3"/>
      <c r="L245" s="3">
        <f>265000-J245</f>
        <v>239500</v>
      </c>
      <c r="M245" s="3"/>
      <c r="N245" s="70"/>
      <c r="O245" s="3"/>
      <c r="P245" s="3">
        <f t="shared" si="1"/>
        <v>239500</v>
      </c>
      <c r="Q245" s="25">
        <f t="shared" si="2"/>
        <v>0</v>
      </c>
      <c r="R245" s="1"/>
      <c r="S245" s="1">
        <v>100000.0</v>
      </c>
      <c r="T245" s="1">
        <v>100000.0</v>
      </c>
      <c r="U245" s="1">
        <v>39500.0</v>
      </c>
      <c r="V245" s="3"/>
      <c r="W245" s="1"/>
      <c r="X245" s="1"/>
      <c r="Y245" s="1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</row>
    <row r="246">
      <c r="A246" s="3"/>
      <c r="B246" s="3"/>
      <c r="C246" s="3"/>
      <c r="D246" s="1" t="s">
        <v>478</v>
      </c>
      <c r="E246" s="1" t="s">
        <v>166</v>
      </c>
      <c r="F246" s="1" t="s">
        <v>479</v>
      </c>
      <c r="G246" s="1" t="s">
        <v>115</v>
      </c>
      <c r="H246" s="1" t="s">
        <v>17</v>
      </c>
      <c r="I246" s="3"/>
      <c r="J246" s="1">
        <v>18000.0</v>
      </c>
      <c r="K246" s="3"/>
      <c r="L246" s="3">
        <f t="shared" ref="L246:L247" si="20">245000-J246</f>
        <v>227000</v>
      </c>
      <c r="M246" s="3"/>
      <c r="N246" s="70"/>
      <c r="O246" s="3"/>
      <c r="P246" s="3">
        <f t="shared" si="1"/>
        <v>96000</v>
      </c>
      <c r="Q246" s="25">
        <f t="shared" si="2"/>
        <v>131000</v>
      </c>
      <c r="R246" s="3"/>
      <c r="S246" s="1">
        <v>96000.0</v>
      </c>
      <c r="T246" s="1"/>
      <c r="U246" s="1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</row>
    <row r="247">
      <c r="A247" s="1"/>
      <c r="B247" s="3"/>
      <c r="C247" s="3"/>
      <c r="D247" s="1">
        <v>7.7158254E8</v>
      </c>
      <c r="E247" s="1" t="s">
        <v>166</v>
      </c>
      <c r="F247" s="1" t="s">
        <v>480</v>
      </c>
      <c r="G247" s="1" t="s">
        <v>115</v>
      </c>
      <c r="H247" s="1" t="s">
        <v>17</v>
      </c>
      <c r="I247" s="3"/>
      <c r="J247" s="1"/>
      <c r="K247" s="3"/>
      <c r="L247" s="3">
        <f t="shared" si="20"/>
        <v>245000</v>
      </c>
      <c r="M247" s="3"/>
      <c r="N247" s="70"/>
      <c r="O247" s="3"/>
      <c r="P247" s="3">
        <f t="shared" si="1"/>
        <v>25000</v>
      </c>
      <c r="Q247" s="25">
        <f t="shared" si="2"/>
        <v>220000</v>
      </c>
      <c r="R247" s="1"/>
      <c r="S247" s="1">
        <v>25000.0</v>
      </c>
      <c r="T247" s="1"/>
      <c r="U247" s="1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</row>
    <row r="248">
      <c r="A248" s="1"/>
      <c r="B248" s="3"/>
      <c r="C248" s="3"/>
      <c r="D248" s="1">
        <v>6.61653282E8</v>
      </c>
      <c r="E248" s="3"/>
      <c r="F248" s="1" t="s">
        <v>481</v>
      </c>
      <c r="G248" s="1" t="s">
        <v>171</v>
      </c>
      <c r="H248" s="1" t="s">
        <v>172</v>
      </c>
      <c r="I248" s="1" t="s">
        <v>129</v>
      </c>
      <c r="J248" s="1">
        <v>50000.0</v>
      </c>
      <c r="K248" s="3"/>
      <c r="L248" s="3">
        <f>395000-J248+40000</f>
        <v>385000</v>
      </c>
      <c r="M248" s="3"/>
      <c r="N248" s="70"/>
      <c r="O248" s="3"/>
      <c r="P248" s="3">
        <f t="shared" si="1"/>
        <v>385000</v>
      </c>
      <c r="Q248" s="25">
        <f t="shared" si="2"/>
        <v>0</v>
      </c>
      <c r="R248" s="3"/>
      <c r="S248" s="1">
        <v>100000.0</v>
      </c>
      <c r="T248" s="1">
        <v>285000.0</v>
      </c>
      <c r="U248" s="3"/>
      <c r="V248" s="1" t="s">
        <v>5</v>
      </c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</row>
    <row r="249">
      <c r="A249" s="3"/>
      <c r="B249" s="3"/>
      <c r="C249" s="3"/>
      <c r="D249" s="1">
        <v>6.61653282E8</v>
      </c>
      <c r="E249" s="3"/>
      <c r="F249" s="1" t="s">
        <v>482</v>
      </c>
      <c r="G249" s="1" t="s">
        <v>144</v>
      </c>
      <c r="H249" s="1" t="s">
        <v>56</v>
      </c>
      <c r="I249" s="1" t="s">
        <v>129</v>
      </c>
      <c r="J249" s="1">
        <v>50000.0</v>
      </c>
      <c r="K249" s="1"/>
      <c r="L249" s="3">
        <f>355000-J249+40000</f>
        <v>345000</v>
      </c>
      <c r="M249" s="3"/>
      <c r="N249" s="70"/>
      <c r="O249" s="3"/>
      <c r="P249" s="3">
        <f t="shared" si="1"/>
        <v>345000</v>
      </c>
      <c r="Q249" s="25">
        <f t="shared" si="2"/>
        <v>0</v>
      </c>
      <c r="R249" s="3"/>
      <c r="S249" s="1">
        <v>100000.0</v>
      </c>
      <c r="T249" s="1">
        <v>245000.0</v>
      </c>
      <c r="U249" s="1"/>
      <c r="V249" s="1" t="s">
        <v>5</v>
      </c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</row>
    <row r="250">
      <c r="A250" s="3"/>
      <c r="B250" s="3"/>
      <c r="C250" s="3"/>
      <c r="D250" s="1">
        <v>6.61653282E8</v>
      </c>
      <c r="E250" s="3"/>
      <c r="F250" s="1" t="s">
        <v>483</v>
      </c>
      <c r="G250" s="1" t="s">
        <v>144</v>
      </c>
      <c r="H250" s="1" t="s">
        <v>49</v>
      </c>
      <c r="I250" s="1" t="s">
        <v>129</v>
      </c>
      <c r="J250" s="1">
        <f>50000+34000</f>
        <v>84000</v>
      </c>
      <c r="K250" s="3"/>
      <c r="L250" s="3">
        <f>330000-J250+40000</f>
        <v>286000</v>
      </c>
      <c r="M250" s="3"/>
      <c r="N250" s="70"/>
      <c r="O250" s="3"/>
      <c r="P250" s="3">
        <f t="shared" si="1"/>
        <v>320000</v>
      </c>
      <c r="Q250" s="25">
        <f t="shared" si="2"/>
        <v>-34000</v>
      </c>
      <c r="R250" s="3"/>
      <c r="S250" s="1">
        <v>100000.0</v>
      </c>
      <c r="T250" s="1">
        <v>220000.0</v>
      </c>
      <c r="U250" s="1"/>
      <c r="V250" s="1" t="s">
        <v>5</v>
      </c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</row>
    <row r="251">
      <c r="A251" s="3"/>
      <c r="B251" s="3"/>
      <c r="C251" s="3"/>
      <c r="D251" s="1">
        <v>6.61653282E8</v>
      </c>
      <c r="E251" s="1" t="s">
        <v>166</v>
      </c>
      <c r="F251" s="1" t="s">
        <v>484</v>
      </c>
      <c r="G251" s="1" t="s">
        <v>3</v>
      </c>
      <c r="H251" s="1" t="s">
        <v>3</v>
      </c>
      <c r="I251" s="1" t="s">
        <v>129</v>
      </c>
      <c r="J251" s="1">
        <v>26000.0</v>
      </c>
      <c r="K251" s="3"/>
      <c r="L251" s="3">
        <f>130000+40000-J251</f>
        <v>144000</v>
      </c>
      <c r="M251" s="3"/>
      <c r="N251" s="70"/>
      <c r="O251" s="3"/>
      <c r="P251" s="3">
        <f t="shared" si="1"/>
        <v>144000</v>
      </c>
      <c r="Q251" s="25">
        <f t="shared" si="2"/>
        <v>0</v>
      </c>
      <c r="R251" s="3"/>
      <c r="S251" s="1">
        <v>100000.0</v>
      </c>
      <c r="T251" s="1">
        <v>44000.0</v>
      </c>
      <c r="U251" s="3"/>
      <c r="V251" s="1" t="s">
        <v>5</v>
      </c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</row>
    <row r="252">
      <c r="A252" s="3"/>
      <c r="B252" s="3"/>
      <c r="C252" s="3"/>
      <c r="D252" s="113">
        <v>5.60521704E8</v>
      </c>
      <c r="E252" s="105" t="s">
        <v>166</v>
      </c>
      <c r="F252" s="1" t="s">
        <v>485</v>
      </c>
      <c r="G252" s="1" t="s">
        <v>8</v>
      </c>
      <c r="H252" s="1" t="s">
        <v>8</v>
      </c>
      <c r="I252" s="3"/>
      <c r="J252" s="3"/>
      <c r="K252" s="3"/>
      <c r="L252" s="3">
        <f>180000-J252</f>
        <v>180000</v>
      </c>
      <c r="M252" s="3"/>
      <c r="N252" s="70"/>
      <c r="O252" s="3"/>
      <c r="P252" s="3">
        <f t="shared" si="1"/>
        <v>18000</v>
      </c>
      <c r="Q252" s="25">
        <f t="shared" si="2"/>
        <v>162000</v>
      </c>
      <c r="R252" s="1"/>
      <c r="S252" s="1">
        <v>18000.0</v>
      </c>
      <c r="T252" s="1"/>
      <c r="U252" s="1"/>
      <c r="V252" s="1" t="s">
        <v>5</v>
      </c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</row>
    <row r="253">
      <c r="A253" s="3"/>
      <c r="B253" s="3"/>
      <c r="C253" s="3"/>
      <c r="D253" s="105">
        <v>7.70359659E8</v>
      </c>
      <c r="E253" s="105" t="s">
        <v>166</v>
      </c>
      <c r="F253" s="1" t="s">
        <v>486</v>
      </c>
      <c r="G253" s="1" t="s">
        <v>3</v>
      </c>
      <c r="H253" s="1" t="s">
        <v>3</v>
      </c>
      <c r="I253" s="3"/>
      <c r="J253" s="1">
        <f>13000+5000</f>
        <v>18000</v>
      </c>
      <c r="K253" s="3"/>
      <c r="L253" s="3">
        <f>130000-J253</f>
        <v>112000</v>
      </c>
      <c r="M253" s="3"/>
      <c r="N253" s="105"/>
      <c r="O253" s="1"/>
      <c r="P253" s="3">
        <f t="shared" si="1"/>
        <v>112000</v>
      </c>
      <c r="Q253" s="25">
        <f t="shared" si="2"/>
        <v>0</v>
      </c>
      <c r="R253" s="1"/>
      <c r="S253" s="1">
        <v>34000.0</v>
      </c>
      <c r="T253" s="1">
        <v>39000.0</v>
      </c>
      <c r="U253" s="1">
        <v>39000.0</v>
      </c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107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</row>
    <row r="254">
      <c r="A254" s="3"/>
      <c r="B254" s="3"/>
      <c r="C254" s="3"/>
      <c r="D254" s="113">
        <v>5.56128693E8</v>
      </c>
      <c r="E254" s="70"/>
      <c r="F254" s="1" t="s">
        <v>487</v>
      </c>
      <c r="G254" s="1" t="s">
        <v>115</v>
      </c>
      <c r="H254" s="1" t="s">
        <v>35</v>
      </c>
      <c r="I254" s="1" t="s">
        <v>129</v>
      </c>
      <c r="J254" s="1">
        <v>5000.0</v>
      </c>
      <c r="K254" s="3"/>
      <c r="L254" s="3">
        <f>245000+55000-J254</f>
        <v>295000</v>
      </c>
      <c r="M254" s="3"/>
      <c r="N254" s="70"/>
      <c r="O254" s="3"/>
      <c r="P254" s="3">
        <f t="shared" si="1"/>
        <v>50000</v>
      </c>
      <c r="Q254" s="25">
        <f t="shared" si="2"/>
        <v>245000</v>
      </c>
      <c r="R254" s="3"/>
      <c r="S254" s="1">
        <v>50000.0</v>
      </c>
      <c r="T254" s="1"/>
      <c r="U254" s="1"/>
      <c r="V254" s="1" t="s">
        <v>339</v>
      </c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</row>
    <row r="255">
      <c r="A255" s="3"/>
      <c r="B255" s="3"/>
      <c r="C255" s="3"/>
      <c r="D255" s="113">
        <v>5.56128693E8</v>
      </c>
      <c r="E255" s="70"/>
      <c r="F255" s="1" t="s">
        <v>488</v>
      </c>
      <c r="G255" s="1" t="s">
        <v>8</v>
      </c>
      <c r="H255" s="1" t="s">
        <v>8</v>
      </c>
      <c r="I255" s="1" t="s">
        <v>129</v>
      </c>
      <c r="J255" s="1">
        <v>5000.0</v>
      </c>
      <c r="K255" s="3"/>
      <c r="L255" s="3">
        <f>180000+55000-J255</f>
        <v>230000</v>
      </c>
      <c r="M255" s="3"/>
      <c r="N255" s="70"/>
      <c r="O255" s="3"/>
      <c r="P255" s="3">
        <f t="shared" si="1"/>
        <v>0</v>
      </c>
      <c r="Q255" s="25">
        <f t="shared" si="2"/>
        <v>230000</v>
      </c>
      <c r="R255" s="1"/>
      <c r="S255" s="1"/>
      <c r="T255" s="1"/>
      <c r="U255" s="1"/>
      <c r="V255" s="1" t="s">
        <v>339</v>
      </c>
      <c r="W255" s="1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</row>
    <row r="256">
      <c r="A256" s="3"/>
      <c r="B256" s="3"/>
      <c r="C256" s="3"/>
      <c r="D256" s="113">
        <v>6.61674519E8</v>
      </c>
      <c r="E256" s="70"/>
      <c r="F256" s="1" t="s">
        <v>489</v>
      </c>
      <c r="G256" s="1" t="s">
        <v>144</v>
      </c>
      <c r="H256" s="1" t="s">
        <v>56</v>
      </c>
      <c r="I256" s="3"/>
      <c r="J256" s="1">
        <v>60000.0</v>
      </c>
      <c r="K256" s="3"/>
      <c r="L256" s="3">
        <f>355000-J256</f>
        <v>295000</v>
      </c>
      <c r="M256" s="3"/>
      <c r="N256" s="70"/>
      <c r="O256" s="3"/>
      <c r="P256" s="3">
        <f t="shared" si="1"/>
        <v>295000</v>
      </c>
      <c r="Q256" s="25">
        <f t="shared" si="2"/>
        <v>0</v>
      </c>
      <c r="R256" s="3"/>
      <c r="S256" s="1">
        <v>150000.0</v>
      </c>
      <c r="T256" s="1">
        <v>100000.0</v>
      </c>
      <c r="U256" s="1">
        <v>45000.0</v>
      </c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</row>
    <row r="257">
      <c r="A257" s="3"/>
      <c r="B257" s="3"/>
      <c r="C257" s="3"/>
      <c r="D257" s="113">
        <v>6.61674519E8</v>
      </c>
      <c r="E257" s="70"/>
      <c r="F257" s="1" t="s">
        <v>490</v>
      </c>
      <c r="G257" s="1" t="s">
        <v>171</v>
      </c>
      <c r="H257" s="1" t="s">
        <v>172</v>
      </c>
      <c r="I257" s="3"/>
      <c r="J257" s="1">
        <v>77200.0</v>
      </c>
      <c r="K257" s="3"/>
      <c r="L257" s="3">
        <f>395000-J257</f>
        <v>317800</v>
      </c>
      <c r="M257" s="3"/>
      <c r="N257" s="70"/>
      <c r="O257" s="3"/>
      <c r="P257" s="3">
        <f t="shared" si="1"/>
        <v>317800</v>
      </c>
      <c r="Q257" s="25">
        <f t="shared" si="2"/>
        <v>0</v>
      </c>
      <c r="R257" s="3"/>
      <c r="S257" s="1">
        <v>150000.0</v>
      </c>
      <c r="T257" s="1">
        <v>100000.0</v>
      </c>
      <c r="U257" s="1">
        <v>67800.0</v>
      </c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</row>
    <row r="258">
      <c r="A258" s="3"/>
      <c r="B258" s="3"/>
      <c r="C258" s="3"/>
      <c r="D258" s="105">
        <v>7.71051387E8</v>
      </c>
      <c r="E258" s="70"/>
      <c r="F258" s="1" t="s">
        <v>491</v>
      </c>
      <c r="G258" s="1" t="s">
        <v>144</v>
      </c>
      <c r="H258" s="1" t="s">
        <v>56</v>
      </c>
      <c r="I258" s="1" t="s">
        <v>129</v>
      </c>
      <c r="J258" s="1">
        <v>13000.0</v>
      </c>
      <c r="K258" s="3"/>
      <c r="L258" s="3">
        <f>355000-J258</f>
        <v>342000</v>
      </c>
      <c r="M258" s="3"/>
      <c r="N258" s="70"/>
      <c r="O258" s="3"/>
      <c r="P258" s="3">
        <f t="shared" si="1"/>
        <v>200000</v>
      </c>
      <c r="Q258" s="25">
        <f t="shared" si="2"/>
        <v>142000</v>
      </c>
      <c r="R258" s="1"/>
      <c r="S258" s="1">
        <v>135000.0</v>
      </c>
      <c r="T258" s="3"/>
      <c r="U258" s="3"/>
      <c r="V258" s="1" t="s">
        <v>492</v>
      </c>
      <c r="W258" s="1">
        <v>30000.0</v>
      </c>
      <c r="X258" s="1">
        <v>20000.0</v>
      </c>
      <c r="Y258" s="1">
        <v>15000.0</v>
      </c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</row>
    <row r="259">
      <c r="A259" s="3"/>
      <c r="B259" s="3"/>
      <c r="C259" s="3"/>
      <c r="D259" s="105">
        <v>7.71051387E8</v>
      </c>
      <c r="E259" s="70"/>
      <c r="F259" s="1" t="s">
        <v>493</v>
      </c>
      <c r="G259" s="1" t="s">
        <v>115</v>
      </c>
      <c r="H259" s="1" t="s">
        <v>43</v>
      </c>
      <c r="I259" s="1" t="s">
        <v>129</v>
      </c>
      <c r="J259" s="3">
        <f>20000</f>
        <v>20000</v>
      </c>
      <c r="K259" s="3"/>
      <c r="L259" s="3">
        <f>300000-J259</f>
        <v>280000</v>
      </c>
      <c r="M259" s="3"/>
      <c r="N259" s="70"/>
      <c r="O259" s="3"/>
      <c r="P259" s="3">
        <f t="shared" si="1"/>
        <v>200000</v>
      </c>
      <c r="Q259" s="25">
        <f t="shared" si="2"/>
        <v>80000</v>
      </c>
      <c r="R259" s="3"/>
      <c r="S259" s="1">
        <v>135000.0</v>
      </c>
      <c r="T259" s="1"/>
      <c r="U259" s="1"/>
      <c r="V259" s="1" t="s">
        <v>492</v>
      </c>
      <c r="W259" s="1">
        <v>30000.0</v>
      </c>
      <c r="X259" s="1">
        <v>20000.0</v>
      </c>
      <c r="Y259" s="1">
        <v>15000.0</v>
      </c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</row>
    <row r="260">
      <c r="A260" s="3"/>
      <c r="B260" s="3"/>
      <c r="C260" s="3"/>
      <c r="D260" s="105">
        <v>7.71051387E8</v>
      </c>
      <c r="E260" s="70"/>
      <c r="F260" s="1" t="s">
        <v>494</v>
      </c>
      <c r="G260" s="1" t="s">
        <v>115</v>
      </c>
      <c r="H260" s="1" t="s">
        <v>495</v>
      </c>
      <c r="I260" s="1" t="s">
        <v>129</v>
      </c>
      <c r="J260" s="3">
        <f>15000+5000</f>
        <v>20000</v>
      </c>
      <c r="K260" s="3"/>
      <c r="L260" s="3">
        <f>300000+40000-J260</f>
        <v>320000</v>
      </c>
      <c r="M260" s="3"/>
      <c r="N260" s="70"/>
      <c r="O260" s="3"/>
      <c r="P260" s="3">
        <f t="shared" si="1"/>
        <v>200000</v>
      </c>
      <c r="Q260" s="25">
        <f t="shared" si="2"/>
        <v>120000</v>
      </c>
      <c r="R260" s="3"/>
      <c r="S260" s="1">
        <v>135000.0</v>
      </c>
      <c r="T260" s="1"/>
      <c r="U260" s="1"/>
      <c r="V260" s="1" t="s">
        <v>492</v>
      </c>
      <c r="W260" s="1">
        <v>30000.0</v>
      </c>
      <c r="X260" s="1">
        <v>20000.0</v>
      </c>
      <c r="Y260" s="1">
        <v>15000.0</v>
      </c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</row>
    <row r="261">
      <c r="A261" s="3"/>
      <c r="B261" s="1"/>
      <c r="C261" s="3"/>
      <c r="D261" s="105">
        <v>6.6412016E8</v>
      </c>
      <c r="E261" s="70"/>
      <c r="F261" s="1" t="s">
        <v>496</v>
      </c>
      <c r="G261" s="1" t="s">
        <v>115</v>
      </c>
      <c r="H261" s="1" t="s">
        <v>41</v>
      </c>
      <c r="I261" s="3"/>
      <c r="J261" s="1">
        <v>18000.0</v>
      </c>
      <c r="K261" s="3"/>
      <c r="L261" s="3">
        <f>285000-J261</f>
        <v>267000</v>
      </c>
      <c r="M261" s="3"/>
      <c r="N261" s="70"/>
      <c r="O261" s="3"/>
      <c r="P261" s="3">
        <f t="shared" si="1"/>
        <v>96000</v>
      </c>
      <c r="Q261" s="25">
        <f t="shared" si="2"/>
        <v>171000</v>
      </c>
      <c r="R261" s="1"/>
      <c r="S261" s="1">
        <v>96000.0</v>
      </c>
      <c r="T261" s="1"/>
      <c r="U261" s="1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</row>
    <row r="262">
      <c r="A262" s="3"/>
      <c r="B262" s="3"/>
      <c r="C262" s="3"/>
      <c r="D262" s="113">
        <v>7.9149162E8</v>
      </c>
      <c r="E262" s="70"/>
      <c r="F262" s="1" t="s">
        <v>497</v>
      </c>
      <c r="G262" s="1" t="s">
        <v>144</v>
      </c>
      <c r="H262" s="1" t="s">
        <v>56</v>
      </c>
      <c r="I262" s="1"/>
      <c r="J262" s="3">
        <f>13000+33000</f>
        <v>46000</v>
      </c>
      <c r="K262" s="3"/>
      <c r="L262" s="3">
        <f>355000-J262</f>
        <v>309000</v>
      </c>
      <c r="M262" s="3"/>
      <c r="N262" s="70"/>
      <c r="O262" s="3"/>
      <c r="P262" s="3">
        <f t="shared" si="1"/>
        <v>309000</v>
      </c>
      <c r="Q262" s="25">
        <f t="shared" si="2"/>
        <v>0</v>
      </c>
      <c r="R262" s="3"/>
      <c r="S262" s="1">
        <v>111000.0</v>
      </c>
      <c r="T262" s="1">
        <v>99000.0</v>
      </c>
      <c r="U262" s="1">
        <v>99000.0</v>
      </c>
      <c r="V262" s="3"/>
      <c r="W262" s="3"/>
      <c r="X262" s="1"/>
      <c r="Y262" s="1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</row>
    <row r="263">
      <c r="A263" s="3"/>
      <c r="B263" s="3"/>
      <c r="C263" s="3"/>
      <c r="D263" s="105">
        <v>5.59338574E8</v>
      </c>
      <c r="E263" s="70"/>
      <c r="F263" s="1" t="s">
        <v>498</v>
      </c>
      <c r="G263" s="1" t="s">
        <v>499</v>
      </c>
      <c r="H263" s="1" t="s">
        <v>226</v>
      </c>
      <c r="I263" s="1"/>
      <c r="J263" s="3"/>
      <c r="K263" s="3"/>
      <c r="L263" s="3">
        <f>375000-J263</f>
        <v>375000</v>
      </c>
      <c r="M263" s="3"/>
      <c r="N263" s="70"/>
      <c r="O263" s="3"/>
      <c r="P263" s="3">
        <f t="shared" si="1"/>
        <v>25000</v>
      </c>
      <c r="Q263" s="25">
        <f t="shared" si="2"/>
        <v>350000</v>
      </c>
      <c r="R263" s="1"/>
      <c r="S263" s="1">
        <v>25000.0</v>
      </c>
      <c r="T263" s="1"/>
      <c r="U263" s="3"/>
      <c r="V263" s="3"/>
      <c r="W263" s="1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</row>
    <row r="264">
      <c r="A264" s="3"/>
      <c r="B264" s="3"/>
      <c r="C264" s="3"/>
      <c r="D264" s="105" t="s">
        <v>500</v>
      </c>
      <c r="E264" s="70"/>
      <c r="F264" s="1" t="s">
        <v>501</v>
      </c>
      <c r="G264" s="1" t="s">
        <v>115</v>
      </c>
      <c r="H264" s="1" t="s">
        <v>27</v>
      </c>
      <c r="I264" s="3"/>
      <c r="J264" s="1">
        <f>36500</f>
        <v>36500</v>
      </c>
      <c r="K264" s="3"/>
      <c r="L264" s="3">
        <f>265000-J264</f>
        <v>228500</v>
      </c>
      <c r="M264" s="3"/>
      <c r="N264" s="70"/>
      <c r="O264" s="3"/>
      <c r="P264" s="3">
        <f t="shared" si="1"/>
        <v>228500</v>
      </c>
      <c r="Q264" s="25">
        <f t="shared" si="2"/>
        <v>0</v>
      </c>
      <c r="R264" s="3"/>
      <c r="S264" s="1">
        <v>69500.0</v>
      </c>
      <c r="T264" s="1">
        <v>79500.0</v>
      </c>
      <c r="U264" s="1">
        <v>79500.0</v>
      </c>
      <c r="V264" s="3"/>
      <c r="W264" s="3"/>
      <c r="X264" s="1"/>
      <c r="Y264" s="1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</row>
    <row r="265">
      <c r="A265" s="133"/>
      <c r="B265" s="3"/>
      <c r="C265" s="3"/>
      <c r="D265" s="105" t="s">
        <v>500</v>
      </c>
      <c r="E265" s="70"/>
      <c r="F265" s="1" t="s">
        <v>502</v>
      </c>
      <c r="G265" s="1" t="s">
        <v>115</v>
      </c>
      <c r="H265" s="1" t="s">
        <v>41</v>
      </c>
      <c r="I265" s="3"/>
      <c r="J265" s="1">
        <v>51500.0</v>
      </c>
      <c r="K265" s="3"/>
      <c r="L265" s="3">
        <f>285000-J265</f>
        <v>233500</v>
      </c>
      <c r="M265" s="3"/>
      <c r="N265" s="70"/>
      <c r="O265" s="3"/>
      <c r="P265" s="3">
        <f t="shared" si="1"/>
        <v>233500</v>
      </c>
      <c r="Q265" s="25">
        <f t="shared" si="2"/>
        <v>0</v>
      </c>
      <c r="R265" s="3"/>
      <c r="S265" s="1">
        <v>62500.0</v>
      </c>
      <c r="T265" s="1">
        <v>85500.0</v>
      </c>
      <c r="U265" s="1">
        <v>85500.0</v>
      </c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</row>
    <row r="266">
      <c r="A266" s="3"/>
      <c r="B266" s="3"/>
      <c r="C266" s="3"/>
      <c r="D266" s="105">
        <v>5.59792068E8</v>
      </c>
      <c r="E266" s="70"/>
      <c r="F266" s="1" t="s">
        <v>503</v>
      </c>
      <c r="G266" s="1" t="s">
        <v>115</v>
      </c>
      <c r="H266" s="1" t="s">
        <v>17</v>
      </c>
      <c r="I266" s="1" t="s">
        <v>129</v>
      </c>
      <c r="J266" s="1">
        <v>10000.0</v>
      </c>
      <c r="K266" s="3"/>
      <c r="L266" s="3">
        <f>40000+245000-J266</f>
        <v>275000</v>
      </c>
      <c r="M266" s="3"/>
      <c r="N266" s="70"/>
      <c r="O266" s="3"/>
      <c r="P266" s="3">
        <f t="shared" si="1"/>
        <v>20000</v>
      </c>
      <c r="Q266" s="25">
        <f t="shared" si="2"/>
        <v>255000</v>
      </c>
      <c r="R266" s="3"/>
      <c r="S266" s="1">
        <v>20000.0</v>
      </c>
      <c r="T266" s="1"/>
      <c r="U266" s="1"/>
      <c r="V266" s="1" t="s">
        <v>5</v>
      </c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</row>
    <row r="267">
      <c r="A267" s="134"/>
      <c r="B267" s="3"/>
      <c r="C267" s="3"/>
      <c r="D267" s="105">
        <v>5.53155729E8</v>
      </c>
      <c r="E267" s="70"/>
      <c r="F267" s="1" t="s">
        <v>504</v>
      </c>
      <c r="G267" s="1" t="s">
        <v>144</v>
      </c>
      <c r="H267" s="1" t="s">
        <v>56</v>
      </c>
      <c r="I267" s="1"/>
      <c r="J267" s="3"/>
      <c r="K267" s="3"/>
      <c r="L267" s="3">
        <f>355000-J267</f>
        <v>355000</v>
      </c>
      <c r="M267" s="3"/>
      <c r="N267" s="70"/>
      <c r="O267" s="3"/>
      <c r="P267" s="3">
        <f t="shared" si="1"/>
        <v>25000</v>
      </c>
      <c r="Q267" s="25">
        <f t="shared" si="2"/>
        <v>330000</v>
      </c>
      <c r="R267" s="1"/>
      <c r="S267" s="1">
        <v>25000.0</v>
      </c>
      <c r="T267" s="1"/>
      <c r="U267" s="1"/>
      <c r="V267" s="3"/>
      <c r="W267" s="1"/>
      <c r="X267" s="1"/>
      <c r="Y267" s="1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</row>
    <row r="268">
      <c r="A268" s="3"/>
      <c r="B268" s="3"/>
      <c r="C268" s="3"/>
      <c r="D268" s="105">
        <v>6.64004278E8</v>
      </c>
      <c r="E268" s="105"/>
      <c r="F268" s="1" t="s">
        <v>505</v>
      </c>
      <c r="G268" s="1" t="s">
        <v>115</v>
      </c>
      <c r="H268" s="1" t="s">
        <v>39</v>
      </c>
      <c r="I268" s="3"/>
      <c r="J268" s="3">
        <f>20000+18000</f>
        <v>38000</v>
      </c>
      <c r="K268" s="3"/>
      <c r="L268" s="3">
        <f>285000-J268</f>
        <v>247000</v>
      </c>
      <c r="M268" s="3"/>
      <c r="N268" s="70"/>
      <c r="O268" s="3"/>
      <c r="P268" s="3">
        <f t="shared" si="1"/>
        <v>71000</v>
      </c>
      <c r="Q268" s="25">
        <f t="shared" si="2"/>
        <v>176000</v>
      </c>
      <c r="R268" s="1"/>
      <c r="S268" s="1">
        <v>71000.0</v>
      </c>
      <c r="T268" s="1"/>
      <c r="U268" s="1"/>
      <c r="V268" s="3"/>
      <c r="W268" s="1"/>
      <c r="X268" s="1"/>
      <c r="Y268" s="1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</row>
    <row r="269">
      <c r="A269" s="3"/>
      <c r="B269" s="3"/>
      <c r="C269" s="3"/>
      <c r="D269" s="113">
        <v>6.9993048E8</v>
      </c>
      <c r="E269" s="70"/>
      <c r="F269" s="1" t="s">
        <v>506</v>
      </c>
      <c r="G269" s="1" t="s">
        <v>144</v>
      </c>
      <c r="H269" s="1" t="s">
        <v>49</v>
      </c>
      <c r="I269" s="3"/>
      <c r="J269" s="1">
        <v>25000.0</v>
      </c>
      <c r="K269" s="3"/>
      <c r="L269" s="3">
        <f>330000-J269</f>
        <v>305000</v>
      </c>
      <c r="M269" s="3"/>
      <c r="N269" s="70"/>
      <c r="O269" s="3"/>
      <c r="P269" s="3">
        <f t="shared" si="1"/>
        <v>122000</v>
      </c>
      <c r="Q269" s="25">
        <f t="shared" si="2"/>
        <v>183000</v>
      </c>
      <c r="R269" s="3"/>
      <c r="S269" s="1">
        <f>147000-25000</f>
        <v>122000</v>
      </c>
      <c r="T269" s="1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</row>
    <row r="270">
      <c r="A270" s="3"/>
      <c r="B270" s="1"/>
      <c r="C270" s="3"/>
      <c r="D270" s="113">
        <v>6.9993048E8</v>
      </c>
      <c r="E270" s="70"/>
      <c r="F270" s="1" t="s">
        <v>117</v>
      </c>
      <c r="G270" s="1" t="s">
        <v>144</v>
      </c>
      <c r="H270" s="1" t="s">
        <v>52</v>
      </c>
      <c r="I270" s="3"/>
      <c r="J270" s="1">
        <v>15000.0</v>
      </c>
      <c r="K270" s="3"/>
      <c r="L270" s="3">
        <f>345000-J270</f>
        <v>330000</v>
      </c>
      <c r="M270" s="3"/>
      <c r="N270" s="70"/>
      <c r="O270" s="3"/>
      <c r="P270" s="3">
        <f t="shared" si="1"/>
        <v>138000</v>
      </c>
      <c r="Q270" s="25">
        <f t="shared" si="2"/>
        <v>192000</v>
      </c>
      <c r="R270" s="3"/>
      <c r="S270" s="1">
        <f>153000-15000</f>
        <v>138000</v>
      </c>
      <c r="T270" s="1"/>
      <c r="U270" s="1"/>
      <c r="V270" s="3"/>
      <c r="W270" s="1"/>
      <c r="X270" s="1"/>
      <c r="Y270" s="1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</row>
    <row r="271">
      <c r="A271" s="3"/>
      <c r="B271" s="3"/>
      <c r="C271" s="3"/>
      <c r="D271" s="113">
        <v>6.9993048E8</v>
      </c>
      <c r="E271" s="70"/>
      <c r="F271" s="1" t="s">
        <v>507</v>
      </c>
      <c r="G271" s="1" t="s">
        <v>115</v>
      </c>
      <c r="H271" s="1" t="s">
        <v>35</v>
      </c>
      <c r="I271" s="3"/>
      <c r="J271" s="3">
        <f>18000</f>
        <v>18000</v>
      </c>
      <c r="K271" s="3"/>
      <c r="L271" s="3">
        <f>280000-J271</f>
        <v>262000</v>
      </c>
      <c r="M271" s="3"/>
      <c r="N271" s="70"/>
      <c r="O271" s="3"/>
      <c r="P271" s="3">
        <f t="shared" si="1"/>
        <v>94000</v>
      </c>
      <c r="Q271" s="25">
        <f t="shared" si="2"/>
        <v>168000</v>
      </c>
      <c r="R271" s="3"/>
      <c r="S271" s="1">
        <f>112000-18000</f>
        <v>94000</v>
      </c>
      <c r="T271" s="1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</row>
    <row r="272">
      <c r="A272" s="3"/>
      <c r="B272" s="3"/>
      <c r="C272" s="3"/>
      <c r="D272" s="105">
        <v>5.5633132E8</v>
      </c>
      <c r="E272" s="105" t="s">
        <v>166</v>
      </c>
      <c r="F272" s="1" t="s">
        <v>508</v>
      </c>
      <c r="G272" s="1" t="s">
        <v>144</v>
      </c>
      <c r="H272" s="1" t="s">
        <v>49</v>
      </c>
      <c r="I272" s="3"/>
      <c r="J272" s="1"/>
      <c r="K272" s="3"/>
      <c r="L272" s="3">
        <f>330000-J272</f>
        <v>330000</v>
      </c>
      <c r="M272" s="3"/>
      <c r="N272" s="70"/>
      <c r="O272" s="3"/>
      <c r="P272" s="3">
        <f t="shared" si="1"/>
        <v>147000</v>
      </c>
      <c r="Q272" s="25">
        <f t="shared" si="2"/>
        <v>183000</v>
      </c>
      <c r="R272" s="1"/>
      <c r="S272" s="1">
        <v>147000.0</v>
      </c>
      <c r="T272" s="1"/>
      <c r="U272" s="1"/>
      <c r="V272" s="3"/>
      <c r="W272" s="1"/>
      <c r="X272" s="1"/>
      <c r="Y272" s="1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</row>
    <row r="273">
      <c r="A273" s="3"/>
      <c r="B273" s="3"/>
      <c r="C273" s="3"/>
      <c r="D273" s="113" t="s">
        <v>509</v>
      </c>
      <c r="E273" s="70"/>
      <c r="F273" s="1" t="s">
        <v>510</v>
      </c>
      <c r="G273" s="1" t="s">
        <v>115</v>
      </c>
      <c r="H273" s="1" t="s">
        <v>35</v>
      </c>
      <c r="I273" s="3"/>
      <c r="J273" s="3"/>
      <c r="K273" s="3"/>
      <c r="L273" s="3">
        <f>280000-J273</f>
        <v>280000</v>
      </c>
      <c r="M273" s="3"/>
      <c r="N273" s="70"/>
      <c r="O273" s="3"/>
      <c r="P273" s="3">
        <f t="shared" si="1"/>
        <v>99000</v>
      </c>
      <c r="Q273" s="25">
        <f t="shared" si="2"/>
        <v>181000</v>
      </c>
      <c r="R273" s="3"/>
      <c r="S273" s="1">
        <v>99000.0</v>
      </c>
      <c r="T273" s="3"/>
      <c r="U273" s="1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</row>
    <row r="274">
      <c r="A274" s="135"/>
      <c r="B274" s="3"/>
      <c r="C274" s="3"/>
      <c r="D274" s="105" t="s">
        <v>511</v>
      </c>
      <c r="E274" s="105" t="s">
        <v>166</v>
      </c>
      <c r="F274" s="1" t="s">
        <v>512</v>
      </c>
      <c r="G274" s="1" t="s">
        <v>115</v>
      </c>
      <c r="H274" s="1" t="s">
        <v>17</v>
      </c>
      <c r="I274" s="1" t="s">
        <v>129</v>
      </c>
      <c r="J274" s="1">
        <v>5000.0</v>
      </c>
      <c r="K274" s="3"/>
      <c r="L274" s="3">
        <f>245000+43000-J274</f>
        <v>283000</v>
      </c>
      <c r="M274" s="3"/>
      <c r="N274" s="105"/>
      <c r="O274" s="1"/>
      <c r="P274" s="3">
        <f t="shared" si="1"/>
        <v>93000</v>
      </c>
      <c r="Q274" s="25">
        <f t="shared" si="2"/>
        <v>190000</v>
      </c>
      <c r="R274" s="1"/>
      <c r="S274" s="1">
        <f>98000-5000</f>
        <v>93000</v>
      </c>
      <c r="T274" s="1"/>
      <c r="U274" s="1"/>
      <c r="V274" s="1" t="s">
        <v>10</v>
      </c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</row>
    <row r="275">
      <c r="A275" s="3"/>
      <c r="B275" s="3"/>
      <c r="C275" s="3"/>
      <c r="D275" s="105">
        <v>7.99198494E8</v>
      </c>
      <c r="E275" s="105" t="s">
        <v>166</v>
      </c>
      <c r="F275" s="1" t="s">
        <v>513</v>
      </c>
      <c r="G275" s="1" t="s">
        <v>8</v>
      </c>
      <c r="H275" s="1" t="s">
        <v>8</v>
      </c>
      <c r="I275" s="1" t="s">
        <v>129</v>
      </c>
      <c r="J275" s="1">
        <v>5000.0</v>
      </c>
      <c r="K275" s="3"/>
      <c r="L275" s="3">
        <f>180000+43000-J275</f>
        <v>218000</v>
      </c>
      <c r="M275" s="3"/>
      <c r="N275" s="105"/>
      <c r="O275" s="1"/>
      <c r="P275" s="3">
        <f t="shared" si="1"/>
        <v>67000</v>
      </c>
      <c r="Q275" s="25">
        <f t="shared" si="2"/>
        <v>151000</v>
      </c>
      <c r="R275" s="3"/>
      <c r="S275" s="1">
        <f>72000-5000</f>
        <v>67000</v>
      </c>
      <c r="T275" s="1"/>
      <c r="U275" s="1"/>
      <c r="V275" s="1" t="s">
        <v>10</v>
      </c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107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</row>
    <row r="276">
      <c r="A276" s="3"/>
      <c r="B276" s="3"/>
      <c r="C276" s="3"/>
      <c r="D276" s="105" t="s">
        <v>514</v>
      </c>
      <c r="E276" s="70"/>
      <c r="F276" s="1" t="s">
        <v>515</v>
      </c>
      <c r="G276" s="1" t="s">
        <v>115</v>
      </c>
      <c r="H276" s="1" t="s">
        <v>27</v>
      </c>
      <c r="I276" s="3"/>
      <c r="J276" s="1">
        <v>10000.0</v>
      </c>
      <c r="K276" s="3"/>
      <c r="L276" s="3">
        <f>265000-J276</f>
        <v>255000</v>
      </c>
      <c r="M276" s="3"/>
      <c r="N276" s="70"/>
      <c r="O276" s="3"/>
      <c r="P276" s="3">
        <f t="shared" si="1"/>
        <v>96000</v>
      </c>
      <c r="Q276" s="25">
        <f t="shared" si="2"/>
        <v>159000</v>
      </c>
      <c r="R276" s="3"/>
      <c r="S276" s="1">
        <v>96000.0</v>
      </c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</row>
    <row r="277">
      <c r="A277" s="3"/>
      <c r="B277" s="3"/>
      <c r="C277" s="3"/>
      <c r="D277" s="105" t="s">
        <v>514</v>
      </c>
      <c r="E277" s="105" t="s">
        <v>166</v>
      </c>
      <c r="F277" s="1" t="s">
        <v>516</v>
      </c>
      <c r="G277" s="1" t="s">
        <v>8</v>
      </c>
      <c r="H277" s="1" t="s">
        <v>8</v>
      </c>
      <c r="I277" s="3"/>
      <c r="J277" s="1">
        <v>5000.0</v>
      </c>
      <c r="K277" s="3"/>
      <c r="L277" s="3">
        <f>180000-J277</f>
        <v>175000</v>
      </c>
      <c r="M277" s="3"/>
      <c r="N277" s="70"/>
      <c r="O277" s="3"/>
      <c r="P277" s="3">
        <f t="shared" si="1"/>
        <v>67000</v>
      </c>
      <c r="Q277" s="25">
        <f t="shared" si="2"/>
        <v>108000</v>
      </c>
      <c r="R277" s="3"/>
      <c r="S277" s="1">
        <v>67000.0</v>
      </c>
      <c r="T277" s="1"/>
      <c r="U277" s="1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</row>
    <row r="278">
      <c r="A278" s="3"/>
      <c r="B278" s="3"/>
      <c r="C278" s="3"/>
      <c r="D278" s="105">
        <v>5.5344426E8</v>
      </c>
      <c r="E278" s="70"/>
      <c r="F278" s="1" t="s">
        <v>517</v>
      </c>
      <c r="G278" s="1" t="s">
        <v>171</v>
      </c>
      <c r="H278" s="1" t="s">
        <v>198</v>
      </c>
      <c r="I278" s="1" t="s">
        <v>129</v>
      </c>
      <c r="J278" s="1"/>
      <c r="K278" s="3"/>
      <c r="L278" s="3">
        <f>355000+25000+55000-J278</f>
        <v>435000</v>
      </c>
      <c r="M278" s="3"/>
      <c r="N278" s="70"/>
      <c r="O278" s="3"/>
      <c r="P278" s="3">
        <f t="shared" si="1"/>
        <v>40000</v>
      </c>
      <c r="Q278" s="25">
        <f t="shared" si="2"/>
        <v>395000</v>
      </c>
      <c r="R278" s="3"/>
      <c r="S278" s="1">
        <v>40000.0</v>
      </c>
      <c r="T278" s="3"/>
      <c r="U278" s="3"/>
      <c r="V278" s="1" t="s">
        <v>259</v>
      </c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</row>
    <row r="279">
      <c r="A279" s="1"/>
      <c r="B279" s="3"/>
      <c r="C279" s="3"/>
      <c r="D279" s="113" t="s">
        <v>212</v>
      </c>
      <c r="E279" s="70"/>
      <c r="F279" s="1" t="s">
        <v>518</v>
      </c>
      <c r="G279" s="1" t="s">
        <v>115</v>
      </c>
      <c r="H279" s="1" t="s">
        <v>41</v>
      </c>
      <c r="I279" s="3"/>
      <c r="J279" s="1">
        <f>46000+16500</f>
        <v>62500</v>
      </c>
      <c r="K279" s="3"/>
      <c r="L279" s="3">
        <f>290000-J279</f>
        <v>227500</v>
      </c>
      <c r="M279" s="3"/>
      <c r="N279" s="105"/>
      <c r="O279" s="1"/>
      <c r="P279" s="3">
        <f t="shared" si="1"/>
        <v>227500</v>
      </c>
      <c r="Q279" s="25">
        <f t="shared" si="2"/>
        <v>0</v>
      </c>
      <c r="R279" s="3"/>
      <c r="S279" s="1">
        <v>50500.0</v>
      </c>
      <c r="T279" s="1">
        <v>88500.0</v>
      </c>
      <c r="U279" s="1">
        <v>88500.0</v>
      </c>
      <c r="V279" s="3"/>
      <c r="W279" s="1"/>
      <c r="X279" s="1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</row>
    <row r="280">
      <c r="A280" s="3"/>
      <c r="B280" s="3"/>
      <c r="C280" s="3"/>
      <c r="D280" s="105">
        <v>6.71786386E8</v>
      </c>
      <c r="E280" s="70"/>
      <c r="F280" s="1" t="s">
        <v>519</v>
      </c>
      <c r="G280" s="1" t="s">
        <v>171</v>
      </c>
      <c r="H280" s="1" t="s">
        <v>198</v>
      </c>
      <c r="I280" s="3"/>
      <c r="J280" s="1">
        <v>51000.0</v>
      </c>
      <c r="K280" s="3"/>
      <c r="L280" s="3">
        <f>380000-J280</f>
        <v>329000</v>
      </c>
      <c r="M280" s="3"/>
      <c r="N280" s="70"/>
      <c r="O280" s="3"/>
      <c r="P280" s="3">
        <f t="shared" si="1"/>
        <v>329000</v>
      </c>
      <c r="Q280" s="25">
        <f t="shared" si="2"/>
        <v>0</v>
      </c>
      <c r="R280" s="3"/>
      <c r="S280" s="1">
        <v>116000.0</v>
      </c>
      <c r="T280" s="1">
        <v>106500.0</v>
      </c>
      <c r="U280" s="1">
        <v>106500.0</v>
      </c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</row>
    <row r="281">
      <c r="A281" s="1" t="s">
        <v>520</v>
      </c>
      <c r="B281" s="3"/>
      <c r="C281" s="3"/>
      <c r="D281" s="105">
        <v>5.55401E8</v>
      </c>
      <c r="E281" s="70"/>
      <c r="F281" s="1" t="s">
        <v>521</v>
      </c>
      <c r="G281" s="1" t="s">
        <v>115</v>
      </c>
      <c r="H281" s="1" t="s">
        <v>35</v>
      </c>
      <c r="I281" s="3"/>
      <c r="J281" s="1">
        <v>50000.0</v>
      </c>
      <c r="K281" s="3"/>
      <c r="L281" s="3">
        <f>280000-J281</f>
        <v>230000</v>
      </c>
      <c r="M281" s="3"/>
      <c r="N281" s="70"/>
      <c r="O281" s="3"/>
      <c r="P281" s="3">
        <f t="shared" si="1"/>
        <v>92000</v>
      </c>
      <c r="Q281" s="25">
        <f t="shared" si="2"/>
        <v>138000</v>
      </c>
      <c r="R281" s="3"/>
      <c r="S281" s="1">
        <v>92000.0</v>
      </c>
      <c r="T281" s="1"/>
      <c r="U281" s="1"/>
      <c r="V281" s="3"/>
      <c r="W281" s="1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</row>
    <row r="282">
      <c r="A282" s="3"/>
      <c r="B282" s="3"/>
      <c r="C282" s="3"/>
      <c r="D282" s="105">
        <v>5.55401E8</v>
      </c>
      <c r="E282" s="105" t="s">
        <v>166</v>
      </c>
      <c r="F282" s="1" t="s">
        <v>522</v>
      </c>
      <c r="G282" s="1" t="s">
        <v>115</v>
      </c>
      <c r="H282" s="1" t="s">
        <v>17</v>
      </c>
      <c r="I282" s="3"/>
      <c r="J282" s="1">
        <v>55000.0</v>
      </c>
      <c r="K282" s="3"/>
      <c r="L282" s="3">
        <f>245000-J282</f>
        <v>190000</v>
      </c>
      <c r="M282" s="3"/>
      <c r="N282" s="70"/>
      <c r="O282" s="3"/>
      <c r="P282" s="3">
        <f t="shared" si="1"/>
        <v>0</v>
      </c>
      <c r="Q282" s="25">
        <f t="shared" si="2"/>
        <v>190000</v>
      </c>
      <c r="R282" s="3"/>
      <c r="S282" s="1"/>
      <c r="T282" s="1"/>
      <c r="U282" s="1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</row>
    <row r="283">
      <c r="A283" s="3"/>
      <c r="B283" s="3"/>
      <c r="C283" s="3"/>
      <c r="D283" s="113" t="s">
        <v>523</v>
      </c>
      <c r="E283" s="70"/>
      <c r="F283" s="1" t="s">
        <v>524</v>
      </c>
      <c r="G283" s="1" t="s">
        <v>144</v>
      </c>
      <c r="H283" s="1" t="s">
        <v>56</v>
      </c>
      <c r="I283" s="1" t="s">
        <v>129</v>
      </c>
      <c r="J283" s="1">
        <v>50000.0</v>
      </c>
      <c r="K283" s="3"/>
      <c r="L283" s="3">
        <f>355000-J283+40000</f>
        <v>345000</v>
      </c>
      <c r="M283" s="3"/>
      <c r="N283" s="70"/>
      <c r="O283" s="3"/>
      <c r="P283" s="3">
        <f t="shared" si="1"/>
        <v>305000</v>
      </c>
      <c r="Q283" s="25">
        <f t="shared" si="2"/>
        <v>40000</v>
      </c>
      <c r="R283" s="3"/>
      <c r="S283" s="1">
        <v>107000.0</v>
      </c>
      <c r="T283" s="1">
        <v>99000.0</v>
      </c>
      <c r="U283" s="1">
        <v>99000.0</v>
      </c>
      <c r="V283" s="1" t="s">
        <v>5</v>
      </c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</row>
    <row r="284">
      <c r="A284" s="3"/>
      <c r="B284" s="3"/>
      <c r="C284" s="3"/>
      <c r="D284" s="113" t="s">
        <v>523</v>
      </c>
      <c r="E284" s="70"/>
      <c r="F284" s="1" t="s">
        <v>525</v>
      </c>
      <c r="G284" s="1" t="s">
        <v>115</v>
      </c>
      <c r="H284" s="1" t="s">
        <v>41</v>
      </c>
      <c r="I284" s="1" t="s">
        <v>129</v>
      </c>
      <c r="J284" s="1">
        <v>50000.0</v>
      </c>
      <c r="K284" s="3"/>
      <c r="L284" s="3">
        <f>285000-J284+40000</f>
        <v>275000</v>
      </c>
      <c r="M284" s="3"/>
      <c r="N284" s="105"/>
      <c r="O284" s="1"/>
      <c r="P284" s="3">
        <f t="shared" si="1"/>
        <v>235000</v>
      </c>
      <c r="Q284" s="25">
        <f t="shared" si="2"/>
        <v>40000</v>
      </c>
      <c r="R284" s="3"/>
      <c r="S284" s="1">
        <v>64000.0</v>
      </c>
      <c r="T284" s="1">
        <v>85500.0</v>
      </c>
      <c r="U284" s="1">
        <v>85500.0</v>
      </c>
      <c r="V284" s="1" t="s">
        <v>5</v>
      </c>
      <c r="W284" s="1"/>
      <c r="X284" s="1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</row>
    <row r="285">
      <c r="A285" s="3"/>
      <c r="B285" s="3"/>
      <c r="C285" s="3"/>
      <c r="D285" s="113" t="s">
        <v>523</v>
      </c>
      <c r="E285" s="70"/>
      <c r="F285" s="1" t="s">
        <v>526</v>
      </c>
      <c r="G285" s="1" t="s">
        <v>3</v>
      </c>
      <c r="H285" s="1" t="s">
        <v>3</v>
      </c>
      <c r="I285" s="1" t="s">
        <v>129</v>
      </c>
      <c r="J285" s="1">
        <v>50000.0</v>
      </c>
      <c r="K285" s="3"/>
      <c r="L285" s="3">
        <f>130000-J285+40000</f>
        <v>120000</v>
      </c>
      <c r="M285" s="3"/>
      <c r="N285" s="70"/>
      <c r="O285" s="3"/>
      <c r="P285" s="3">
        <f t="shared" si="1"/>
        <v>80000</v>
      </c>
      <c r="Q285" s="25">
        <f t="shared" si="2"/>
        <v>40000</v>
      </c>
      <c r="R285" s="3"/>
      <c r="S285" s="1">
        <v>2000.0</v>
      </c>
      <c r="T285" s="1">
        <v>39000.0</v>
      </c>
      <c r="U285" s="1">
        <v>39000.0</v>
      </c>
      <c r="V285" s="1" t="s">
        <v>5</v>
      </c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</row>
    <row r="286">
      <c r="A286" s="3"/>
      <c r="B286" s="3"/>
      <c r="C286" s="3"/>
      <c r="D286" s="113" t="s">
        <v>523</v>
      </c>
      <c r="E286" s="70"/>
      <c r="F286" s="1" t="s">
        <v>527</v>
      </c>
      <c r="G286" s="1" t="s">
        <v>115</v>
      </c>
      <c r="H286" s="1" t="s">
        <v>27</v>
      </c>
      <c r="I286" s="1" t="s">
        <v>129</v>
      </c>
      <c r="J286" s="1">
        <v>26500.0</v>
      </c>
      <c r="K286" s="3"/>
      <c r="L286" s="3">
        <f>265000-J286+40000</f>
        <v>278500</v>
      </c>
      <c r="M286" s="3"/>
      <c r="N286" s="70"/>
      <c r="O286" s="3"/>
      <c r="P286" s="3">
        <f t="shared" si="1"/>
        <v>238500</v>
      </c>
      <c r="Q286" s="25">
        <f t="shared" si="2"/>
        <v>40000</v>
      </c>
      <c r="R286" s="3"/>
      <c r="S286" s="1">
        <v>79500.0</v>
      </c>
      <c r="T286" s="1">
        <v>79500.0</v>
      </c>
      <c r="U286" s="1">
        <v>79500.0</v>
      </c>
      <c r="V286" s="1" t="s">
        <v>5</v>
      </c>
      <c r="W286" s="1"/>
      <c r="X286" s="1"/>
      <c r="Y286" s="1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</row>
    <row r="287">
      <c r="A287" s="134"/>
      <c r="B287" s="3"/>
      <c r="C287" s="3"/>
      <c r="D287" s="105">
        <v>5.59585411E8</v>
      </c>
      <c r="E287" s="70"/>
      <c r="F287" s="1" t="s">
        <v>528</v>
      </c>
      <c r="G287" s="1" t="s">
        <v>144</v>
      </c>
      <c r="H287" s="1" t="s">
        <v>56</v>
      </c>
      <c r="I287" s="3"/>
      <c r="J287" s="1">
        <v>13000.0</v>
      </c>
      <c r="K287" s="3"/>
      <c r="L287" s="3">
        <f>355000-J287</f>
        <v>342000</v>
      </c>
      <c r="M287" s="3"/>
      <c r="N287" s="105"/>
      <c r="O287" s="1"/>
      <c r="P287" s="3">
        <f t="shared" si="1"/>
        <v>144000</v>
      </c>
      <c r="Q287" s="25">
        <f t="shared" si="2"/>
        <v>198000</v>
      </c>
      <c r="R287" s="1"/>
      <c r="S287" s="1">
        <v>144000.0</v>
      </c>
      <c r="T287" s="1"/>
      <c r="U287" s="1"/>
      <c r="V287" s="1"/>
      <c r="W287" s="1"/>
      <c r="X287" s="1"/>
      <c r="Y287" s="1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</row>
    <row r="288">
      <c r="A288" s="3"/>
      <c r="B288" s="3"/>
      <c r="C288" s="3"/>
      <c r="D288" s="105" t="s">
        <v>529</v>
      </c>
      <c r="E288" s="105" t="s">
        <v>166</v>
      </c>
      <c r="F288" s="1" t="s">
        <v>530</v>
      </c>
      <c r="G288" s="1" t="s">
        <v>115</v>
      </c>
      <c r="H288" s="1" t="s">
        <v>17</v>
      </c>
      <c r="I288" s="1" t="s">
        <v>129</v>
      </c>
      <c r="J288" s="3"/>
      <c r="K288" s="3"/>
      <c r="L288" s="3">
        <f>245000+43000-J288</f>
        <v>288000</v>
      </c>
      <c r="M288" s="3"/>
      <c r="N288" s="70"/>
      <c r="O288" s="3"/>
      <c r="P288" s="3">
        <f t="shared" si="1"/>
        <v>98000</v>
      </c>
      <c r="Q288" s="25">
        <f t="shared" si="2"/>
        <v>190000</v>
      </c>
      <c r="R288" s="3"/>
      <c r="S288" s="1">
        <v>98000.0</v>
      </c>
      <c r="T288" s="3"/>
      <c r="U288" s="3"/>
      <c r="V288" s="1" t="s">
        <v>62</v>
      </c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</row>
    <row r="289">
      <c r="A289" s="3"/>
      <c r="B289" s="3"/>
      <c r="C289" s="3"/>
      <c r="D289" s="105">
        <v>5.6088304E8</v>
      </c>
      <c r="E289" s="70"/>
      <c r="F289" s="1" t="s">
        <v>531</v>
      </c>
      <c r="G289" s="1" t="s">
        <v>115</v>
      </c>
      <c r="H289" s="1" t="s">
        <v>27</v>
      </c>
      <c r="I289" s="1" t="s">
        <v>129</v>
      </c>
      <c r="J289" s="3"/>
      <c r="K289" s="3"/>
      <c r="L289" s="3">
        <f>265000+43000-J289</f>
        <v>308000</v>
      </c>
      <c r="M289" s="3"/>
      <c r="N289" s="70"/>
      <c r="O289" s="3"/>
      <c r="P289" s="3">
        <f t="shared" si="1"/>
        <v>25000</v>
      </c>
      <c r="Q289" s="25">
        <f t="shared" si="2"/>
        <v>283000</v>
      </c>
      <c r="R289" s="3"/>
      <c r="S289" s="1">
        <v>25000.0</v>
      </c>
      <c r="T289" s="1"/>
      <c r="U289" s="1"/>
      <c r="V289" s="1" t="s">
        <v>14</v>
      </c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</row>
    <row r="290">
      <c r="A290" s="1"/>
      <c r="B290" s="3"/>
      <c r="C290" s="3"/>
      <c r="D290" s="122" t="s">
        <v>532</v>
      </c>
      <c r="E290" s="70"/>
      <c r="F290" s="1" t="s">
        <v>533</v>
      </c>
      <c r="G290" s="1" t="s">
        <v>241</v>
      </c>
      <c r="H290" s="1" t="s">
        <v>241</v>
      </c>
      <c r="I290" s="3"/>
      <c r="J290" s="1"/>
      <c r="K290" s="3"/>
      <c r="L290" s="3">
        <f>23000+225000-J290+20000</f>
        <v>268000</v>
      </c>
      <c r="M290" s="3"/>
      <c r="N290" s="105"/>
      <c r="O290" s="3"/>
      <c r="P290" s="3">
        <f t="shared" si="1"/>
        <v>0</v>
      </c>
      <c r="Q290" s="25">
        <f t="shared" si="2"/>
        <v>268000</v>
      </c>
      <c r="R290" s="1"/>
      <c r="S290" s="1"/>
      <c r="T290" s="1"/>
      <c r="U290" s="1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107"/>
      <c r="AN290" s="81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  <c r="AZ290" s="81"/>
      <c r="BA290" s="81"/>
      <c r="BB290" s="81"/>
    </row>
    <row r="291">
      <c r="A291" s="1"/>
      <c r="B291" s="1"/>
      <c r="C291" s="3"/>
      <c r="D291" s="105" t="s">
        <v>534</v>
      </c>
      <c r="E291" s="70"/>
      <c r="F291" s="1" t="s">
        <v>535</v>
      </c>
      <c r="G291" s="1" t="s">
        <v>144</v>
      </c>
      <c r="H291" s="1" t="s">
        <v>52</v>
      </c>
      <c r="I291" s="3"/>
      <c r="J291" s="1"/>
      <c r="K291" s="3"/>
      <c r="L291" s="3">
        <f>25000+320000+55000-J291</f>
        <v>400000</v>
      </c>
      <c r="M291" s="3"/>
      <c r="N291" s="70"/>
      <c r="O291" s="3"/>
      <c r="P291" s="3">
        <f t="shared" si="1"/>
        <v>24000</v>
      </c>
      <c r="Q291" s="25">
        <f t="shared" si="2"/>
        <v>376000</v>
      </c>
      <c r="R291" s="3"/>
      <c r="S291" s="1">
        <v>24000.0</v>
      </c>
      <c r="T291" s="1"/>
      <c r="U291" s="1"/>
      <c r="V291" s="1" t="s">
        <v>536</v>
      </c>
      <c r="W291" s="3"/>
      <c r="X291" s="1"/>
      <c r="Y291" s="1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81"/>
      <c r="AN291" s="81"/>
      <c r="AO291" s="81"/>
      <c r="AP291" s="81"/>
      <c r="AQ291" s="81"/>
      <c r="AR291" s="81"/>
      <c r="AS291" s="81"/>
      <c r="AT291" s="81"/>
      <c r="AU291" s="81"/>
      <c r="AV291" s="81"/>
      <c r="AW291" s="81"/>
      <c r="AX291" s="81"/>
      <c r="AY291" s="81"/>
      <c r="AZ291" s="81"/>
      <c r="BA291" s="81"/>
      <c r="BB291" s="81"/>
    </row>
    <row r="292">
      <c r="A292" s="1"/>
      <c r="B292" s="3"/>
      <c r="C292" s="3"/>
      <c r="D292" s="113">
        <v>6.61122823E8</v>
      </c>
      <c r="E292" s="105" t="s">
        <v>166</v>
      </c>
      <c r="F292" s="1" t="s">
        <v>537</v>
      </c>
      <c r="G292" s="1" t="s">
        <v>115</v>
      </c>
      <c r="H292" s="1" t="s">
        <v>35</v>
      </c>
      <c r="I292" s="1" t="s">
        <v>129</v>
      </c>
      <c r="J292" s="1">
        <v>5000.0</v>
      </c>
      <c r="K292" s="3"/>
      <c r="L292" s="3">
        <f>280000+40000-J292</f>
        <v>315000</v>
      </c>
      <c r="M292" s="1"/>
      <c r="N292" s="105"/>
      <c r="O292" s="1"/>
      <c r="P292" s="3">
        <f t="shared" si="1"/>
        <v>50000</v>
      </c>
      <c r="Q292" s="25">
        <f t="shared" si="2"/>
        <v>265000</v>
      </c>
      <c r="R292" s="1"/>
      <c r="S292" s="1">
        <v>50000.0</v>
      </c>
      <c r="T292" s="3"/>
      <c r="U292" s="3"/>
      <c r="V292" s="1" t="s">
        <v>5</v>
      </c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107" t="s">
        <v>538</v>
      </c>
      <c r="AN292" s="81"/>
      <c r="AO292" s="81"/>
      <c r="AP292" s="81"/>
      <c r="AQ292" s="81"/>
      <c r="AR292" s="81"/>
      <c r="AS292" s="81"/>
      <c r="AT292" s="81"/>
      <c r="AU292" s="81"/>
      <c r="AV292" s="81"/>
      <c r="AW292" s="81"/>
      <c r="AX292" s="81"/>
      <c r="AY292" s="81"/>
      <c r="AZ292" s="81"/>
      <c r="BA292" s="81"/>
      <c r="BB292" s="81"/>
    </row>
    <row r="293">
      <c r="A293" s="3"/>
      <c r="B293" s="3"/>
      <c r="C293" s="3"/>
      <c r="D293" s="113">
        <v>6.61122823E8</v>
      </c>
      <c r="E293" s="105" t="s">
        <v>166</v>
      </c>
      <c r="F293" s="1" t="s">
        <v>539</v>
      </c>
      <c r="G293" s="1" t="s">
        <v>8</v>
      </c>
      <c r="H293" s="1" t="s">
        <v>8</v>
      </c>
      <c r="I293" s="1" t="s">
        <v>129</v>
      </c>
      <c r="J293" s="1">
        <v>5000.0</v>
      </c>
      <c r="K293" s="3"/>
      <c r="L293" s="3">
        <f>180000+40000-J293</f>
        <v>215000</v>
      </c>
      <c r="M293" s="1"/>
      <c r="N293" s="70"/>
      <c r="O293" s="3"/>
      <c r="P293" s="3">
        <f t="shared" si="1"/>
        <v>50000</v>
      </c>
      <c r="Q293" s="25">
        <f t="shared" si="2"/>
        <v>165000</v>
      </c>
      <c r="R293" s="1"/>
      <c r="S293" s="1">
        <v>50000.0</v>
      </c>
      <c r="T293" s="1"/>
      <c r="U293" s="3"/>
      <c r="V293" s="1" t="s">
        <v>5</v>
      </c>
      <c r="W293" s="1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81"/>
      <c r="AN293" s="81"/>
      <c r="AO293" s="81"/>
      <c r="AP293" s="81"/>
      <c r="AQ293" s="81"/>
      <c r="AR293" s="81"/>
      <c r="AS293" s="81"/>
      <c r="AT293" s="81"/>
      <c r="AU293" s="81"/>
      <c r="AV293" s="81"/>
      <c r="AW293" s="81"/>
      <c r="AX293" s="81"/>
      <c r="AY293" s="81"/>
      <c r="AZ293" s="81"/>
      <c r="BA293" s="81"/>
      <c r="BB293" s="81"/>
    </row>
    <row r="294">
      <c r="A294" s="3"/>
      <c r="B294" s="3"/>
      <c r="C294" s="3"/>
      <c r="D294" s="122">
        <v>6.61652502E8</v>
      </c>
      <c r="E294" s="70"/>
      <c r="F294" s="1" t="s">
        <v>540</v>
      </c>
      <c r="G294" s="1" t="s">
        <v>115</v>
      </c>
      <c r="H294" s="1" t="s">
        <v>17</v>
      </c>
      <c r="I294" s="1"/>
      <c r="J294" s="1">
        <f>10000+18000+5000+8000</f>
        <v>41000</v>
      </c>
      <c r="K294" s="3"/>
      <c r="L294" s="136">
        <f>245000-J294</f>
        <v>204000</v>
      </c>
      <c r="M294" s="3"/>
      <c r="N294" s="70"/>
      <c r="O294" s="3"/>
      <c r="P294" s="3">
        <f t="shared" si="1"/>
        <v>204000</v>
      </c>
      <c r="Q294" s="137">
        <f t="shared" si="2"/>
        <v>0</v>
      </c>
      <c r="R294" s="1"/>
      <c r="S294" s="1">
        <v>204000.0</v>
      </c>
      <c r="T294" s="1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138"/>
      <c r="AH294" s="3"/>
      <c r="AI294" s="138"/>
      <c r="AJ294" s="3"/>
      <c r="AK294" s="138"/>
      <c r="AL294" s="3"/>
      <c r="AM294" s="81"/>
      <c r="AN294" s="81"/>
      <c r="AO294" s="81"/>
      <c r="AP294" s="81"/>
      <c r="AQ294" s="81"/>
      <c r="AR294" s="81"/>
      <c r="AS294" s="81"/>
      <c r="AT294" s="81"/>
      <c r="AU294" s="81"/>
      <c r="AV294" s="81"/>
      <c r="AW294" s="81"/>
      <c r="AX294" s="81"/>
      <c r="AY294" s="81"/>
      <c r="AZ294" s="81"/>
      <c r="BA294" s="81"/>
      <c r="BB294" s="81"/>
    </row>
    <row r="295">
      <c r="A295" s="3"/>
      <c r="B295" s="3"/>
      <c r="C295" s="3"/>
      <c r="D295" s="122">
        <v>6.61652502E8</v>
      </c>
      <c r="E295" s="70"/>
      <c r="F295" s="1" t="s">
        <v>541</v>
      </c>
      <c r="G295" s="1" t="s">
        <v>8</v>
      </c>
      <c r="H295" s="1" t="s">
        <v>8</v>
      </c>
      <c r="I295" s="3"/>
      <c r="J295" s="3">
        <f>5000+16500</f>
        <v>21500</v>
      </c>
      <c r="K295" s="3"/>
      <c r="L295" s="3">
        <f>180000-J295</f>
        <v>158500</v>
      </c>
      <c r="M295" s="3"/>
      <c r="N295" s="105"/>
      <c r="O295" s="1"/>
      <c r="P295" s="3">
        <f t="shared" si="1"/>
        <v>158500</v>
      </c>
      <c r="Q295" s="25">
        <f t="shared" si="2"/>
        <v>0</v>
      </c>
      <c r="R295" s="1"/>
      <c r="S295" s="1">
        <v>158500.0</v>
      </c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81"/>
      <c r="AN295" s="81"/>
      <c r="AO295" s="81"/>
      <c r="AP295" s="81"/>
      <c r="AQ295" s="81"/>
      <c r="AR295" s="81"/>
      <c r="AS295" s="81"/>
      <c r="AT295" s="81"/>
      <c r="AU295" s="81"/>
      <c r="AV295" s="81"/>
      <c r="AW295" s="81"/>
      <c r="AX295" s="81"/>
      <c r="AY295" s="81"/>
      <c r="AZ295" s="81"/>
      <c r="BA295" s="81"/>
      <c r="BB295" s="81"/>
    </row>
    <row r="296">
      <c r="A296" s="1"/>
      <c r="B296" s="3"/>
      <c r="C296" s="3"/>
      <c r="D296" s="122">
        <v>6.61652502E8</v>
      </c>
      <c r="E296" s="70"/>
      <c r="F296" s="1" t="s">
        <v>542</v>
      </c>
      <c r="G296" s="1" t="s">
        <v>171</v>
      </c>
      <c r="H296" s="1" t="s">
        <v>198</v>
      </c>
      <c r="I296" s="3"/>
      <c r="J296" s="1">
        <f>13000+35500+5000</f>
        <v>53500</v>
      </c>
      <c r="K296" s="3"/>
      <c r="L296" s="3">
        <f>380000-J296</f>
        <v>326500</v>
      </c>
      <c r="M296" s="3"/>
      <c r="N296" s="70"/>
      <c r="O296" s="3"/>
      <c r="P296" s="3">
        <f t="shared" si="1"/>
        <v>326500</v>
      </c>
      <c r="Q296" s="25">
        <f t="shared" si="2"/>
        <v>0</v>
      </c>
      <c r="R296" s="3"/>
      <c r="S296" s="1">
        <v>326500.0</v>
      </c>
      <c r="T296" s="1"/>
      <c r="U296" s="1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81"/>
      <c r="AN296" s="81"/>
      <c r="AO296" s="81"/>
      <c r="AP296" s="81"/>
      <c r="AQ296" s="81"/>
      <c r="AR296" s="81"/>
      <c r="AS296" s="81"/>
      <c r="AT296" s="81"/>
      <c r="AU296" s="81"/>
      <c r="AV296" s="81"/>
      <c r="AW296" s="81"/>
      <c r="AX296" s="81"/>
      <c r="AY296" s="81"/>
      <c r="AZ296" s="81"/>
      <c r="BA296" s="81"/>
      <c r="BB296" s="81"/>
    </row>
    <row r="297">
      <c r="A297" s="3"/>
      <c r="B297" s="3"/>
      <c r="C297" s="3"/>
      <c r="D297" s="139">
        <v>5.40450066E8</v>
      </c>
      <c r="E297" s="70"/>
      <c r="F297" s="1" t="s">
        <v>543</v>
      </c>
      <c r="G297" s="1" t="s">
        <v>144</v>
      </c>
      <c r="H297" s="1" t="s">
        <v>56</v>
      </c>
      <c r="I297" s="3"/>
      <c r="J297" s="1">
        <f>5000+13000+33500+16500</f>
        <v>68000</v>
      </c>
      <c r="K297" s="3"/>
      <c r="L297" s="3">
        <f>335000-J297</f>
        <v>267000</v>
      </c>
      <c r="M297" s="3"/>
      <c r="N297" s="70"/>
      <c r="O297" s="3"/>
      <c r="P297" s="3">
        <f t="shared" si="1"/>
        <v>267000</v>
      </c>
      <c r="Q297" s="25">
        <f t="shared" si="2"/>
        <v>0</v>
      </c>
      <c r="R297" s="3"/>
      <c r="S297" s="1">
        <v>267000.0</v>
      </c>
      <c r="T297" s="1"/>
      <c r="U297" s="1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81"/>
      <c r="AN297" s="81"/>
      <c r="AO297" s="81"/>
      <c r="AP297" s="81"/>
      <c r="AQ297" s="81"/>
      <c r="AR297" s="81"/>
      <c r="AS297" s="81"/>
      <c r="AT297" s="81"/>
      <c r="AU297" s="81"/>
      <c r="AV297" s="81"/>
      <c r="AW297" s="81"/>
      <c r="AX297" s="81"/>
      <c r="AY297" s="81"/>
      <c r="AZ297" s="81"/>
      <c r="BA297" s="81"/>
      <c r="BB297" s="81"/>
    </row>
    <row r="298">
      <c r="A298" s="3"/>
      <c r="B298" s="3"/>
      <c r="C298" s="3"/>
      <c r="D298" s="139">
        <v>5.40450066E8</v>
      </c>
      <c r="E298" s="70"/>
      <c r="F298" s="1" t="s">
        <v>544</v>
      </c>
      <c r="G298" s="1" t="s">
        <v>144</v>
      </c>
      <c r="H298" s="1" t="s">
        <v>58</v>
      </c>
      <c r="I298" s="3"/>
      <c r="J298" s="3">
        <f>20000+5000+37000+17000</f>
        <v>79000</v>
      </c>
      <c r="K298" s="3"/>
      <c r="L298" s="3">
        <f>370000-J298</f>
        <v>291000</v>
      </c>
      <c r="M298" s="3"/>
      <c r="N298" s="70"/>
      <c r="O298" s="3"/>
      <c r="P298" s="3">
        <f t="shared" si="1"/>
        <v>291000</v>
      </c>
      <c r="Q298" s="25">
        <f t="shared" si="2"/>
        <v>0</v>
      </c>
      <c r="R298" s="3"/>
      <c r="S298" s="1">
        <v>291000.0</v>
      </c>
      <c r="T298" s="1"/>
      <c r="U298" s="1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81"/>
      <c r="AN298" s="81"/>
      <c r="AO298" s="81"/>
      <c r="AP298" s="81"/>
      <c r="AQ298" s="81"/>
      <c r="AR298" s="81"/>
      <c r="AS298" s="81"/>
      <c r="AT298" s="81"/>
      <c r="AU298" s="81"/>
      <c r="AV298" s="81"/>
      <c r="AW298" s="81"/>
      <c r="AX298" s="81"/>
      <c r="AY298" s="81"/>
      <c r="AZ298" s="81"/>
      <c r="BA298" s="81"/>
      <c r="BB298" s="81"/>
    </row>
    <row r="299">
      <c r="A299" s="3"/>
      <c r="B299" s="3"/>
      <c r="C299" s="3"/>
      <c r="D299" s="139">
        <v>5.40450066E8</v>
      </c>
      <c r="E299" s="105" t="s">
        <v>166</v>
      </c>
      <c r="F299" s="1" t="s">
        <v>545</v>
      </c>
      <c r="G299" s="1" t="s">
        <v>8</v>
      </c>
      <c r="H299" s="1" t="s">
        <v>8</v>
      </c>
      <c r="I299" s="3"/>
      <c r="J299" s="3">
        <f>18000+3000+5000</f>
        <v>26000</v>
      </c>
      <c r="K299" s="3"/>
      <c r="L299" s="3">
        <f>180000-J299</f>
        <v>154000</v>
      </c>
      <c r="M299" s="3"/>
      <c r="N299" s="70"/>
      <c r="O299" s="3"/>
      <c r="P299" s="3">
        <f t="shared" si="1"/>
        <v>154000</v>
      </c>
      <c r="Q299" s="25">
        <f t="shared" si="2"/>
        <v>0</v>
      </c>
      <c r="R299" s="3"/>
      <c r="S299" s="1">
        <v>154000.0</v>
      </c>
      <c r="T299" s="1"/>
      <c r="U299" s="1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81"/>
      <c r="AN299" s="81"/>
      <c r="AO299" s="81"/>
      <c r="AP299" s="81"/>
      <c r="AQ299" s="81"/>
      <c r="AR299" s="81"/>
      <c r="AS299" s="81"/>
      <c r="AT299" s="81"/>
      <c r="AU299" s="81"/>
      <c r="AV299" s="81"/>
      <c r="AW299" s="81"/>
      <c r="AX299" s="81"/>
      <c r="AY299" s="81"/>
      <c r="AZ299" s="81"/>
      <c r="BA299" s="81"/>
      <c r="BB299" s="81"/>
    </row>
    <row r="300">
      <c r="A300" s="3"/>
      <c r="B300" s="3"/>
      <c r="C300" s="3"/>
      <c r="D300" s="139">
        <v>5.40450066E8</v>
      </c>
      <c r="E300" s="105" t="s">
        <v>166</v>
      </c>
      <c r="F300" s="1" t="s">
        <v>546</v>
      </c>
      <c r="G300" s="1" t="s">
        <v>115</v>
      </c>
      <c r="H300" s="1" t="s">
        <v>17</v>
      </c>
      <c r="I300" s="1"/>
      <c r="J300" s="3">
        <f>10000+5000+8000+24500</f>
        <v>47500</v>
      </c>
      <c r="K300" s="3"/>
      <c r="L300" s="3">
        <f>245000-J300</f>
        <v>197500</v>
      </c>
      <c r="M300" s="3"/>
      <c r="N300" s="70"/>
      <c r="O300" s="3"/>
      <c r="P300" s="3">
        <f t="shared" si="1"/>
        <v>197500</v>
      </c>
      <c r="Q300" s="25">
        <f t="shared" si="2"/>
        <v>0</v>
      </c>
      <c r="R300" s="1"/>
      <c r="S300" s="1">
        <v>197500.0</v>
      </c>
      <c r="T300" s="1"/>
      <c r="U300" s="1"/>
      <c r="V300" s="1"/>
      <c r="W300" s="1"/>
      <c r="X300" s="1"/>
      <c r="Y300" s="1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81"/>
      <c r="AN300" s="81"/>
      <c r="AO300" s="81"/>
      <c r="AP300" s="81"/>
      <c r="AQ300" s="81"/>
      <c r="AR300" s="81"/>
      <c r="AS300" s="81"/>
      <c r="AT300" s="81"/>
      <c r="AU300" s="81"/>
      <c r="AV300" s="81"/>
      <c r="AW300" s="81"/>
      <c r="AX300" s="81"/>
      <c r="AY300" s="81"/>
      <c r="AZ300" s="81"/>
      <c r="BA300" s="81"/>
      <c r="BB300" s="81"/>
    </row>
    <row r="301">
      <c r="A301" s="3"/>
      <c r="B301" s="3"/>
      <c r="C301" s="3"/>
      <c r="D301" s="105">
        <v>5.50025557E8</v>
      </c>
      <c r="E301" s="70"/>
      <c r="F301" s="1" t="s">
        <v>547</v>
      </c>
      <c r="G301" s="1" t="s">
        <v>144</v>
      </c>
      <c r="H301" s="1" t="s">
        <v>49</v>
      </c>
      <c r="I301" s="3"/>
      <c r="J301" s="1">
        <f>5000+10000+33000+2000</f>
        <v>50000</v>
      </c>
      <c r="K301" s="3"/>
      <c r="L301" s="3">
        <f>330000-J301</f>
        <v>280000</v>
      </c>
      <c r="M301" s="3"/>
      <c r="N301" s="70"/>
      <c r="O301" s="3"/>
      <c r="P301" s="3">
        <f t="shared" si="1"/>
        <v>280000</v>
      </c>
      <c r="Q301" s="25">
        <f t="shared" si="2"/>
        <v>0</v>
      </c>
      <c r="R301" s="3"/>
      <c r="S301" s="1">
        <v>97000.0</v>
      </c>
      <c r="T301" s="1">
        <v>91500.0</v>
      </c>
      <c r="U301" s="1">
        <v>91500.0</v>
      </c>
      <c r="V301" s="3"/>
      <c r="W301" s="1"/>
      <c r="X301" s="1"/>
      <c r="Y301" s="1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81"/>
      <c r="AN301" s="81"/>
      <c r="AO301" s="81"/>
      <c r="AP301" s="81"/>
      <c r="AQ301" s="81"/>
      <c r="AR301" s="81"/>
      <c r="AS301" s="81"/>
      <c r="AT301" s="81"/>
      <c r="AU301" s="81"/>
      <c r="AV301" s="81"/>
      <c r="AW301" s="81"/>
      <c r="AX301" s="81"/>
      <c r="AY301" s="81"/>
      <c r="AZ301" s="81"/>
      <c r="BA301" s="81"/>
      <c r="BB301" s="81"/>
    </row>
    <row r="302">
      <c r="A302" s="3"/>
      <c r="B302" s="3"/>
      <c r="C302" s="3"/>
      <c r="D302" s="105">
        <v>5.50025557E8</v>
      </c>
      <c r="E302" s="70"/>
      <c r="F302" s="1" t="s">
        <v>548</v>
      </c>
      <c r="G302" s="1" t="s">
        <v>115</v>
      </c>
      <c r="H302" s="1" t="s">
        <v>35</v>
      </c>
      <c r="I302" s="3"/>
      <c r="J302" s="1">
        <f>5000+13000+28000</f>
        <v>46000</v>
      </c>
      <c r="K302" s="3"/>
      <c r="L302" s="3">
        <f>280000-J302</f>
        <v>234000</v>
      </c>
      <c r="M302" s="3"/>
      <c r="N302" s="70"/>
      <c r="O302" s="3"/>
      <c r="P302" s="3">
        <f t="shared" si="1"/>
        <v>234000</v>
      </c>
      <c r="Q302" s="25">
        <f t="shared" si="2"/>
        <v>0</v>
      </c>
      <c r="R302" s="3"/>
      <c r="S302" s="1">
        <v>75000.0</v>
      </c>
      <c r="T302" s="1">
        <v>79500.0</v>
      </c>
      <c r="U302" s="1">
        <v>79500.0</v>
      </c>
      <c r="V302" s="3"/>
      <c r="W302" s="1"/>
      <c r="X302" s="1"/>
      <c r="Y302" s="1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81"/>
      <c r="AN302" s="81"/>
      <c r="AO302" s="81"/>
      <c r="AP302" s="81"/>
      <c r="AQ302" s="81"/>
      <c r="AR302" s="81"/>
      <c r="AS302" s="81"/>
      <c r="AT302" s="81"/>
      <c r="AU302" s="81"/>
      <c r="AV302" s="81"/>
      <c r="AW302" s="81"/>
      <c r="AX302" s="81"/>
      <c r="AY302" s="81"/>
      <c r="AZ302" s="81"/>
      <c r="BA302" s="81"/>
      <c r="BB302" s="81"/>
    </row>
    <row r="303">
      <c r="A303" s="3"/>
      <c r="B303" s="3"/>
      <c r="C303" s="3"/>
      <c r="D303" s="105">
        <v>5.59155851E8</v>
      </c>
      <c r="E303" s="105" t="s">
        <v>166</v>
      </c>
      <c r="F303" s="1" t="s">
        <v>549</v>
      </c>
      <c r="G303" s="1" t="s">
        <v>115</v>
      </c>
      <c r="H303" s="1" t="s">
        <v>17</v>
      </c>
      <c r="I303" s="1" t="s">
        <v>129</v>
      </c>
      <c r="J303" s="3">
        <f>18000+5000</f>
        <v>23000</v>
      </c>
      <c r="K303" s="3"/>
      <c r="L303" s="3">
        <f>245000+40000-J303</f>
        <v>262000</v>
      </c>
      <c r="M303" s="3"/>
      <c r="N303" s="70"/>
      <c r="O303" s="3"/>
      <c r="P303" s="3">
        <f t="shared" si="1"/>
        <v>73000</v>
      </c>
      <c r="Q303" s="25">
        <f t="shared" si="2"/>
        <v>189000</v>
      </c>
      <c r="R303" s="3"/>
      <c r="S303" s="1">
        <v>73000.0</v>
      </c>
      <c r="T303" s="1"/>
      <c r="U303" s="1"/>
      <c r="V303" s="1" t="s">
        <v>5</v>
      </c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81"/>
      <c r="AN303" s="81"/>
      <c r="AO303" s="81"/>
      <c r="AP303" s="81"/>
      <c r="AQ303" s="81"/>
      <c r="AR303" s="81"/>
      <c r="AS303" s="81"/>
      <c r="AT303" s="81"/>
      <c r="AU303" s="81"/>
      <c r="AV303" s="81"/>
      <c r="AW303" s="81"/>
      <c r="AX303" s="81"/>
      <c r="AY303" s="81"/>
      <c r="AZ303" s="81"/>
      <c r="BA303" s="81"/>
      <c r="BB303" s="81"/>
    </row>
    <row r="304">
      <c r="A304" s="1"/>
      <c r="B304" s="3"/>
      <c r="C304" s="3"/>
      <c r="D304" s="122">
        <v>6.58705242E8</v>
      </c>
      <c r="E304" s="70"/>
      <c r="F304" s="1" t="s">
        <v>550</v>
      </c>
      <c r="G304" s="1" t="s">
        <v>115</v>
      </c>
      <c r="H304" s="1" t="s">
        <v>35</v>
      </c>
      <c r="I304" s="3"/>
      <c r="J304" s="1"/>
      <c r="K304" s="3"/>
      <c r="L304" s="3">
        <f>280000-J304</f>
        <v>280000</v>
      </c>
      <c r="M304" s="3"/>
      <c r="N304" s="70"/>
      <c r="O304" s="3"/>
      <c r="P304" s="3">
        <f t="shared" si="1"/>
        <v>99000</v>
      </c>
      <c r="Q304" s="25">
        <f t="shared" si="2"/>
        <v>181000</v>
      </c>
      <c r="R304" s="3"/>
      <c r="S304" s="1">
        <f>112000-13000</f>
        <v>99000</v>
      </c>
      <c r="T304" s="1"/>
      <c r="U304" s="1"/>
      <c r="V304" s="3"/>
      <c r="W304" s="3"/>
      <c r="X304" s="1"/>
      <c r="Y304" s="1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81"/>
      <c r="AN304" s="81"/>
      <c r="AO304" s="81"/>
      <c r="AP304" s="81"/>
      <c r="AQ304" s="81"/>
      <c r="AR304" s="81"/>
      <c r="AS304" s="81"/>
      <c r="AT304" s="81"/>
      <c r="AU304" s="81"/>
      <c r="AV304" s="81"/>
      <c r="AW304" s="81"/>
      <c r="AX304" s="81"/>
      <c r="AY304" s="81"/>
      <c r="AZ304" s="81"/>
      <c r="BA304" s="81"/>
      <c r="BB304" s="81"/>
    </row>
    <row r="305">
      <c r="A305" s="3"/>
      <c r="B305" s="3"/>
      <c r="C305" s="3"/>
      <c r="D305" s="122">
        <v>5.52088865E8</v>
      </c>
      <c r="E305" s="70"/>
      <c r="F305" s="1" t="s">
        <v>551</v>
      </c>
      <c r="G305" s="1" t="s">
        <v>144</v>
      </c>
      <c r="H305" s="1" t="s">
        <v>56</v>
      </c>
      <c r="I305" s="1" t="s">
        <v>129</v>
      </c>
      <c r="J305" s="1">
        <v>13000.0</v>
      </c>
      <c r="K305" s="3"/>
      <c r="L305" s="3">
        <f>25000+330000+40000-J305</f>
        <v>382000</v>
      </c>
      <c r="M305" s="3"/>
      <c r="N305" s="105"/>
      <c r="O305" s="1"/>
      <c r="P305" s="3">
        <f t="shared" si="1"/>
        <v>164000</v>
      </c>
      <c r="Q305" s="25">
        <f t="shared" si="2"/>
        <v>218000</v>
      </c>
      <c r="R305" s="1"/>
      <c r="S305" s="1">
        <f>25000+132000-13000</f>
        <v>144000</v>
      </c>
      <c r="T305" s="1"/>
      <c r="U305" s="1"/>
      <c r="V305" s="1" t="s">
        <v>5</v>
      </c>
      <c r="W305" s="1">
        <v>20000.0</v>
      </c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81"/>
      <c r="AN305" s="81"/>
      <c r="AO305" s="81"/>
      <c r="AP305" s="81"/>
      <c r="AQ305" s="81"/>
      <c r="AR305" s="81"/>
      <c r="AS305" s="81"/>
      <c r="AT305" s="81"/>
      <c r="AU305" s="81"/>
      <c r="AV305" s="81"/>
      <c r="AW305" s="81"/>
      <c r="AX305" s="81"/>
      <c r="AY305" s="81"/>
      <c r="AZ305" s="81"/>
      <c r="BA305" s="81"/>
      <c r="BB305" s="81"/>
    </row>
    <row r="306">
      <c r="A306" s="1"/>
      <c r="B306" s="3"/>
      <c r="C306" s="3"/>
      <c r="D306" s="105">
        <v>6.97812489E8</v>
      </c>
      <c r="E306" s="70"/>
      <c r="F306" s="1" t="s">
        <v>552</v>
      </c>
      <c r="G306" s="1" t="s">
        <v>144</v>
      </c>
      <c r="H306" s="1" t="s">
        <v>56</v>
      </c>
      <c r="I306" s="3"/>
      <c r="J306" s="1">
        <v>13000.0</v>
      </c>
      <c r="K306" s="3"/>
      <c r="L306" s="1">
        <f>330000+25000-J306</f>
        <v>342000</v>
      </c>
      <c r="M306" s="3"/>
      <c r="N306" s="105"/>
      <c r="O306" s="3"/>
      <c r="P306" s="3">
        <f t="shared" si="1"/>
        <v>144000</v>
      </c>
      <c r="Q306" s="25">
        <f t="shared" si="2"/>
        <v>198000</v>
      </c>
      <c r="R306" s="3"/>
      <c r="S306" s="1">
        <v>144000.0</v>
      </c>
      <c r="T306" s="1"/>
      <c r="U306" s="1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81"/>
      <c r="AN306" s="81"/>
      <c r="AO306" s="81"/>
      <c r="AP306" s="81"/>
      <c r="AQ306" s="81"/>
      <c r="AR306" s="81"/>
      <c r="AS306" s="81"/>
      <c r="AT306" s="81"/>
      <c r="AU306" s="81"/>
      <c r="AV306" s="81"/>
      <c r="AW306" s="81"/>
      <c r="AX306" s="81"/>
      <c r="AY306" s="81"/>
      <c r="AZ306" s="81"/>
      <c r="BA306" s="81"/>
      <c r="BB306" s="81"/>
    </row>
    <row r="307">
      <c r="A307" s="3"/>
      <c r="B307" s="3"/>
      <c r="C307" s="3"/>
      <c r="D307" s="122">
        <v>7.763424E8</v>
      </c>
      <c r="E307" s="70"/>
      <c r="F307" s="1" t="s">
        <v>553</v>
      </c>
      <c r="G307" s="1" t="s">
        <v>115</v>
      </c>
      <c r="H307" s="1" t="s">
        <v>32</v>
      </c>
      <c r="I307" s="3"/>
      <c r="J307" s="3">
        <f>20000+13000+28000</f>
        <v>61000</v>
      </c>
      <c r="K307" s="3"/>
      <c r="L307" s="3">
        <f t="shared" ref="L307:L308" si="21">280000-J307</f>
        <v>219000</v>
      </c>
      <c r="M307" s="3"/>
      <c r="N307" s="70"/>
      <c r="O307" s="3"/>
      <c r="P307" s="3">
        <f t="shared" si="1"/>
        <v>219000</v>
      </c>
      <c r="Q307" s="25">
        <f t="shared" si="2"/>
        <v>0</v>
      </c>
      <c r="R307" s="3"/>
      <c r="S307" s="1">
        <f>32000+19000</f>
        <v>51000</v>
      </c>
      <c r="T307" s="1">
        <v>84000.0</v>
      </c>
      <c r="U307" s="1">
        <v>84000.0</v>
      </c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81"/>
      <c r="AN307" s="81"/>
      <c r="AO307" s="81"/>
      <c r="AP307" s="81"/>
      <c r="AQ307" s="81"/>
      <c r="AR307" s="81"/>
      <c r="AS307" s="81"/>
      <c r="AT307" s="81"/>
      <c r="AU307" s="81"/>
      <c r="AV307" s="81"/>
      <c r="AW307" s="81"/>
      <c r="AX307" s="81"/>
      <c r="AY307" s="81"/>
      <c r="AZ307" s="81"/>
      <c r="BA307" s="81"/>
      <c r="BB307" s="81"/>
    </row>
    <row r="308">
      <c r="A308" s="3"/>
      <c r="B308" s="3"/>
      <c r="C308" s="3"/>
      <c r="D308" s="105" t="s">
        <v>554</v>
      </c>
      <c r="E308" s="70"/>
      <c r="F308" s="1" t="s">
        <v>555</v>
      </c>
      <c r="G308" s="1" t="s">
        <v>115</v>
      </c>
      <c r="H308" s="1" t="s">
        <v>32</v>
      </c>
      <c r="I308" s="3"/>
      <c r="J308" s="1">
        <v>20000.0</v>
      </c>
      <c r="K308" s="3"/>
      <c r="L308" s="3">
        <f t="shared" si="21"/>
        <v>260000</v>
      </c>
      <c r="M308" s="3"/>
      <c r="N308" s="70"/>
      <c r="O308" s="3"/>
      <c r="P308" s="3">
        <f t="shared" si="1"/>
        <v>30000</v>
      </c>
      <c r="Q308" s="25">
        <f t="shared" si="2"/>
        <v>230000</v>
      </c>
      <c r="R308" s="1"/>
      <c r="S308" s="1">
        <v>30000.0</v>
      </c>
      <c r="T308" s="1"/>
      <c r="U308" s="1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81"/>
      <c r="AN308" s="81"/>
      <c r="AO308" s="81"/>
      <c r="AP308" s="81"/>
      <c r="AQ308" s="81"/>
      <c r="AR308" s="81"/>
      <c r="AS308" s="81"/>
      <c r="AT308" s="81"/>
      <c r="AU308" s="81"/>
      <c r="AV308" s="81"/>
      <c r="AW308" s="81"/>
      <c r="AX308" s="81"/>
      <c r="AY308" s="81"/>
      <c r="AZ308" s="81"/>
      <c r="BA308" s="81"/>
      <c r="BB308" s="81"/>
    </row>
    <row r="309">
      <c r="A309" s="3"/>
      <c r="B309" s="3"/>
      <c r="C309" s="3"/>
      <c r="D309" s="113">
        <v>6.61601974E8</v>
      </c>
      <c r="E309" s="105" t="s">
        <v>166</v>
      </c>
      <c r="F309" s="1" t="s">
        <v>556</v>
      </c>
      <c r="G309" s="1" t="s">
        <v>144</v>
      </c>
      <c r="H309" s="1" t="s">
        <v>17</v>
      </c>
      <c r="I309" s="3"/>
      <c r="J309" s="3">
        <f>18000+5000</f>
        <v>23000</v>
      </c>
      <c r="K309" s="3"/>
      <c r="L309" s="3">
        <f>245000-J309</f>
        <v>222000</v>
      </c>
      <c r="M309" s="3"/>
      <c r="N309" s="70"/>
      <c r="O309" s="3"/>
      <c r="P309" s="3">
        <f t="shared" si="1"/>
        <v>75000</v>
      </c>
      <c r="Q309" s="25">
        <f t="shared" si="2"/>
        <v>147000</v>
      </c>
      <c r="R309" s="3"/>
      <c r="S309" s="1">
        <f>98000-23000</f>
        <v>75000</v>
      </c>
      <c r="T309" s="1"/>
      <c r="U309" s="1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81"/>
      <c r="AN309" s="81"/>
      <c r="AO309" s="81"/>
      <c r="AP309" s="81"/>
      <c r="AQ309" s="81"/>
      <c r="AR309" s="81"/>
      <c r="AS309" s="81"/>
      <c r="AT309" s="81"/>
      <c r="AU309" s="81"/>
      <c r="AV309" s="81"/>
      <c r="AW309" s="81"/>
      <c r="AX309" s="81"/>
      <c r="AY309" s="81"/>
      <c r="AZ309" s="81"/>
      <c r="BA309" s="81"/>
      <c r="BB309" s="81"/>
    </row>
    <row r="310">
      <c r="A310" s="3"/>
      <c r="B310" s="3"/>
      <c r="C310" s="3"/>
      <c r="D310" s="105">
        <v>5.55062815E8</v>
      </c>
      <c r="E310" s="70"/>
      <c r="F310" s="1" t="s">
        <v>557</v>
      </c>
      <c r="G310" s="1" t="s">
        <v>115</v>
      </c>
      <c r="H310" s="1" t="s">
        <v>41</v>
      </c>
      <c r="I310" s="3"/>
      <c r="J310" s="1">
        <v>18000.0</v>
      </c>
      <c r="K310" s="3"/>
      <c r="L310" s="3">
        <f>285000-J310</f>
        <v>267000</v>
      </c>
      <c r="M310" s="3"/>
      <c r="N310" s="70"/>
      <c r="O310" s="3"/>
      <c r="P310" s="3">
        <f t="shared" si="1"/>
        <v>96000</v>
      </c>
      <c r="Q310" s="25">
        <f t="shared" si="2"/>
        <v>171000</v>
      </c>
      <c r="R310" s="3"/>
      <c r="S310" s="1">
        <v>96000.0</v>
      </c>
      <c r="T310" s="1"/>
      <c r="U310" s="1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81"/>
      <c r="AN310" s="81"/>
      <c r="AO310" s="81"/>
      <c r="AP310" s="81"/>
      <c r="AQ310" s="81"/>
      <c r="AR310" s="81"/>
      <c r="AS310" s="81"/>
      <c r="AT310" s="81"/>
      <c r="AU310" s="81"/>
      <c r="AV310" s="81"/>
      <c r="AW310" s="81"/>
      <c r="AX310" s="81"/>
      <c r="AY310" s="81"/>
      <c r="AZ310" s="81"/>
      <c r="BA310" s="81"/>
      <c r="BB310" s="81"/>
    </row>
    <row r="311">
      <c r="A311" s="3"/>
      <c r="B311" s="3"/>
      <c r="C311" s="3"/>
      <c r="D311" s="113">
        <v>5.42073374E8</v>
      </c>
      <c r="E311" s="70"/>
      <c r="F311" s="1" t="s">
        <v>558</v>
      </c>
      <c r="G311" s="1" t="s">
        <v>8</v>
      </c>
      <c r="H311" s="1" t="s">
        <v>8</v>
      </c>
      <c r="I311" s="1" t="s">
        <v>129</v>
      </c>
      <c r="J311" s="1">
        <v>5000.0</v>
      </c>
      <c r="K311" s="3"/>
      <c r="L311" s="3">
        <f>180000-J311+40000</f>
        <v>215000</v>
      </c>
      <c r="M311" s="3"/>
      <c r="N311" s="70"/>
      <c r="O311" s="1"/>
      <c r="P311" s="3">
        <f t="shared" si="1"/>
        <v>18000</v>
      </c>
      <c r="Q311" s="25">
        <f t="shared" si="2"/>
        <v>197000</v>
      </c>
      <c r="R311" s="3"/>
      <c r="S311" s="1">
        <v>18000.0</v>
      </c>
      <c r="T311" s="3"/>
      <c r="U311" s="1"/>
      <c r="V311" s="1" t="s">
        <v>5</v>
      </c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81"/>
      <c r="AN311" s="81"/>
      <c r="AO311" s="81"/>
      <c r="AP311" s="81"/>
      <c r="AQ311" s="81"/>
      <c r="AR311" s="81"/>
      <c r="AS311" s="81"/>
      <c r="AT311" s="81"/>
      <c r="AU311" s="81"/>
      <c r="AV311" s="81"/>
      <c r="AW311" s="81"/>
      <c r="AX311" s="81"/>
      <c r="AY311" s="81"/>
      <c r="AZ311" s="81"/>
      <c r="BA311" s="81"/>
      <c r="BB311" s="81"/>
    </row>
    <row r="312">
      <c r="A312" s="3"/>
      <c r="B312" s="3"/>
      <c r="C312" s="3"/>
      <c r="D312" s="113">
        <v>5.42073374E8</v>
      </c>
      <c r="E312" s="70"/>
      <c r="F312" s="1" t="s">
        <v>559</v>
      </c>
      <c r="G312" s="1" t="s">
        <v>115</v>
      </c>
      <c r="H312" s="1" t="s">
        <v>41</v>
      </c>
      <c r="I312" s="1" t="s">
        <v>129</v>
      </c>
      <c r="J312" s="1">
        <v>5000.0</v>
      </c>
      <c r="K312" s="3"/>
      <c r="L312" s="3">
        <f>285000-J312+40000</f>
        <v>320000</v>
      </c>
      <c r="M312" s="3"/>
      <c r="N312" s="70"/>
      <c r="O312" s="3"/>
      <c r="P312" s="3">
        <f t="shared" si="1"/>
        <v>25000</v>
      </c>
      <c r="Q312" s="25">
        <f t="shared" si="2"/>
        <v>295000</v>
      </c>
      <c r="R312" s="1"/>
      <c r="S312" s="1">
        <v>25000.0</v>
      </c>
      <c r="T312" s="1"/>
      <c r="U312" s="1"/>
      <c r="V312" s="1" t="s">
        <v>5</v>
      </c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81"/>
      <c r="AN312" s="81"/>
      <c r="AO312" s="81"/>
      <c r="AP312" s="81"/>
      <c r="AQ312" s="81"/>
      <c r="AR312" s="81"/>
      <c r="AS312" s="81"/>
      <c r="AT312" s="81"/>
      <c r="AU312" s="81"/>
      <c r="AV312" s="81"/>
      <c r="AW312" s="81"/>
      <c r="AX312" s="81"/>
      <c r="AY312" s="81"/>
      <c r="AZ312" s="81"/>
      <c r="BA312" s="81"/>
      <c r="BB312" s="81"/>
    </row>
    <row r="313">
      <c r="A313" s="3"/>
      <c r="B313" s="3"/>
      <c r="C313" s="3"/>
      <c r="D313" s="105">
        <v>5.52943257E8</v>
      </c>
      <c r="E313" s="70"/>
      <c r="F313" s="1" t="s">
        <v>560</v>
      </c>
      <c r="G313" s="1" t="s">
        <v>171</v>
      </c>
      <c r="H313" s="1" t="s">
        <v>172</v>
      </c>
      <c r="I313" s="1" t="s">
        <v>129</v>
      </c>
      <c r="J313" s="3">
        <f>15000</f>
        <v>15000</v>
      </c>
      <c r="K313" s="3"/>
      <c r="L313" s="3">
        <f>30000+365000+55000-J313</f>
        <v>435000</v>
      </c>
      <c r="M313" s="3"/>
      <c r="N313" s="70"/>
      <c r="O313" s="3"/>
      <c r="P313" s="3">
        <f t="shared" si="1"/>
        <v>161000</v>
      </c>
      <c r="Q313" s="25">
        <f t="shared" si="2"/>
        <v>274000</v>
      </c>
      <c r="R313" s="3"/>
      <c r="S313" s="1">
        <f>146000-J313</f>
        <v>131000</v>
      </c>
      <c r="T313" s="1"/>
      <c r="U313" s="1"/>
      <c r="V313" s="1" t="s">
        <v>277</v>
      </c>
      <c r="W313" s="1">
        <v>30000.0</v>
      </c>
      <c r="X313" s="1"/>
      <c r="Y313" s="1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81"/>
      <c r="AN313" s="81"/>
      <c r="AO313" s="81"/>
      <c r="AP313" s="81"/>
      <c r="AQ313" s="81"/>
      <c r="AR313" s="81"/>
      <c r="AS313" s="81"/>
      <c r="AT313" s="81"/>
      <c r="AU313" s="81"/>
      <c r="AV313" s="81"/>
      <c r="AW313" s="81"/>
      <c r="AX313" s="81"/>
      <c r="AY313" s="81"/>
      <c r="AZ313" s="81"/>
      <c r="BA313" s="81"/>
      <c r="BB313" s="81"/>
    </row>
    <row r="314">
      <c r="A314" s="1"/>
      <c r="B314" s="3"/>
      <c r="C314" s="3"/>
      <c r="D314" s="105">
        <v>5.52943257E8</v>
      </c>
      <c r="E314" s="70"/>
      <c r="F314" s="1" t="s">
        <v>561</v>
      </c>
      <c r="G314" s="1" t="s">
        <v>171</v>
      </c>
      <c r="H314" s="1" t="s">
        <v>198</v>
      </c>
      <c r="I314" s="1" t="s">
        <v>129</v>
      </c>
      <c r="J314" s="3">
        <f>13000+5000</f>
        <v>18000</v>
      </c>
      <c r="K314" s="3"/>
      <c r="L314" s="3">
        <f>25000+355000+55000-J314</f>
        <v>417000</v>
      </c>
      <c r="M314" s="3"/>
      <c r="N314" s="105"/>
      <c r="O314" s="3"/>
      <c r="P314" s="3">
        <f t="shared" si="1"/>
        <v>154000</v>
      </c>
      <c r="Q314" s="25">
        <f t="shared" si="2"/>
        <v>263000</v>
      </c>
      <c r="R314" s="1"/>
      <c r="S314" s="1">
        <f>142000-J314</f>
        <v>124000</v>
      </c>
      <c r="T314" s="1"/>
      <c r="U314" s="1"/>
      <c r="V314" s="1" t="s">
        <v>277</v>
      </c>
      <c r="W314" s="1">
        <v>30000.0</v>
      </c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81"/>
      <c r="AN314" s="81"/>
      <c r="AO314" s="81"/>
      <c r="AP314" s="81"/>
      <c r="AQ314" s="81"/>
      <c r="AR314" s="81"/>
      <c r="AS314" s="81"/>
      <c r="AT314" s="81"/>
      <c r="AU314" s="81"/>
      <c r="AV314" s="81"/>
      <c r="AW314" s="81"/>
      <c r="AX314" s="81"/>
      <c r="AY314" s="81"/>
      <c r="AZ314" s="81"/>
      <c r="BA314" s="81"/>
      <c r="BB314" s="81"/>
    </row>
    <row r="315">
      <c r="A315" s="3"/>
      <c r="B315" s="3"/>
      <c r="C315" s="3"/>
      <c r="D315" s="122">
        <v>7.72702518E8</v>
      </c>
      <c r="E315" s="70"/>
      <c r="F315" s="1" t="s">
        <v>562</v>
      </c>
      <c r="G315" s="1" t="s">
        <v>115</v>
      </c>
      <c r="H315" s="1" t="s">
        <v>27</v>
      </c>
      <c r="I315" s="3"/>
      <c r="J315" s="1">
        <v>5000.0</v>
      </c>
      <c r="K315" s="3"/>
      <c r="L315" s="3">
        <f>265000-J315</f>
        <v>260000</v>
      </c>
      <c r="M315" s="3"/>
      <c r="N315" s="70"/>
      <c r="O315" s="3"/>
      <c r="P315" s="3">
        <f t="shared" si="1"/>
        <v>101000</v>
      </c>
      <c r="Q315" s="25">
        <f t="shared" si="2"/>
        <v>159000</v>
      </c>
      <c r="R315" s="3"/>
      <c r="S315" s="1">
        <v>101000.0</v>
      </c>
      <c r="T315" s="1"/>
      <c r="U315" s="1"/>
      <c r="V315" s="3"/>
      <c r="W315" s="3"/>
      <c r="X315" s="1"/>
      <c r="Y315" s="1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81"/>
      <c r="AN315" s="81"/>
      <c r="AO315" s="81"/>
      <c r="AP315" s="81"/>
      <c r="AQ315" s="81"/>
      <c r="AR315" s="81"/>
      <c r="AS315" s="81"/>
      <c r="AT315" s="81"/>
      <c r="AU315" s="81"/>
      <c r="AV315" s="81"/>
      <c r="AW315" s="81"/>
      <c r="AX315" s="81"/>
      <c r="AY315" s="81"/>
      <c r="AZ315" s="81"/>
      <c r="BA315" s="81"/>
      <c r="BB315" s="81"/>
    </row>
    <row r="316">
      <c r="A316" s="3"/>
      <c r="B316" s="3"/>
      <c r="C316" s="3"/>
      <c r="D316" s="105" t="s">
        <v>563</v>
      </c>
      <c r="E316" s="70"/>
      <c r="F316" s="1" t="s">
        <v>564</v>
      </c>
      <c r="G316" s="1" t="s">
        <v>144</v>
      </c>
      <c r="H316" s="1" t="s">
        <v>56</v>
      </c>
      <c r="I316" s="1" t="s">
        <v>129</v>
      </c>
      <c r="J316" s="1">
        <v>5000.0</v>
      </c>
      <c r="K316" s="3"/>
      <c r="L316" s="3">
        <f>25000+40000+330000-J316</f>
        <v>390000</v>
      </c>
      <c r="M316" s="3"/>
      <c r="N316" s="70"/>
      <c r="O316" s="3"/>
      <c r="P316" s="3">
        <f t="shared" si="1"/>
        <v>50000</v>
      </c>
      <c r="Q316" s="25">
        <f t="shared" si="2"/>
        <v>340000</v>
      </c>
      <c r="R316" s="3"/>
      <c r="S316" s="1">
        <v>50000.0</v>
      </c>
      <c r="T316" s="1"/>
      <c r="U316" s="1"/>
      <c r="V316" s="1" t="s">
        <v>5</v>
      </c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81"/>
      <c r="AN316" s="81"/>
      <c r="AO316" s="81"/>
      <c r="AP316" s="81"/>
      <c r="AQ316" s="81"/>
      <c r="AR316" s="81"/>
      <c r="AS316" s="81"/>
      <c r="AT316" s="81"/>
      <c r="AU316" s="81"/>
      <c r="AV316" s="81"/>
      <c r="AW316" s="81"/>
      <c r="AX316" s="81"/>
      <c r="AY316" s="81"/>
      <c r="AZ316" s="81"/>
      <c r="BA316" s="81"/>
      <c r="BB316" s="81"/>
    </row>
    <row r="317">
      <c r="A317" s="3"/>
      <c r="B317" s="3"/>
      <c r="C317" s="3"/>
      <c r="D317" s="105" t="s">
        <v>563</v>
      </c>
      <c r="E317" s="70"/>
      <c r="F317" s="1" t="s">
        <v>565</v>
      </c>
      <c r="G317" s="1" t="s">
        <v>171</v>
      </c>
      <c r="H317" s="1" t="s">
        <v>226</v>
      </c>
      <c r="I317" s="1" t="s">
        <v>129</v>
      </c>
      <c r="J317" s="1">
        <v>5000.0</v>
      </c>
      <c r="K317" s="3"/>
      <c r="L317" s="3">
        <f>25000+350000+40000-J317</f>
        <v>410000</v>
      </c>
      <c r="M317" s="3"/>
      <c r="N317" s="70"/>
      <c r="O317" s="3"/>
      <c r="P317" s="3">
        <f t="shared" si="1"/>
        <v>50000</v>
      </c>
      <c r="Q317" s="25">
        <f t="shared" si="2"/>
        <v>360000</v>
      </c>
      <c r="R317" s="3"/>
      <c r="S317" s="1">
        <v>50000.0</v>
      </c>
      <c r="T317" s="1"/>
      <c r="U317" s="1"/>
      <c r="V317" s="1" t="s">
        <v>5</v>
      </c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81"/>
      <c r="AN317" s="81"/>
      <c r="AO317" s="81"/>
      <c r="AP317" s="81"/>
      <c r="AQ317" s="81"/>
      <c r="AR317" s="81"/>
      <c r="AS317" s="81"/>
      <c r="AT317" s="81"/>
      <c r="AU317" s="81"/>
      <c r="AV317" s="81"/>
      <c r="AW317" s="81"/>
      <c r="AX317" s="81"/>
      <c r="AY317" s="81"/>
      <c r="AZ317" s="81"/>
      <c r="BA317" s="81"/>
      <c r="BB317" s="81"/>
    </row>
    <row r="318">
      <c r="A318" s="3"/>
      <c r="B318" s="3"/>
      <c r="C318" s="3"/>
      <c r="D318" s="105" t="s">
        <v>563</v>
      </c>
      <c r="E318" s="70"/>
      <c r="F318" s="1" t="s">
        <v>566</v>
      </c>
      <c r="G318" s="1" t="s">
        <v>115</v>
      </c>
      <c r="H318" s="1" t="s">
        <v>35</v>
      </c>
      <c r="I318" s="1" t="s">
        <v>129</v>
      </c>
      <c r="J318" s="1">
        <v>5000.0</v>
      </c>
      <c r="K318" s="3"/>
      <c r="L318" s="3">
        <f>280000+40000-J318</f>
        <v>315000</v>
      </c>
      <c r="M318" s="3"/>
      <c r="N318" s="70"/>
      <c r="O318" s="3"/>
      <c r="P318" s="3">
        <f t="shared" si="1"/>
        <v>57000</v>
      </c>
      <c r="Q318" s="25">
        <f t="shared" si="2"/>
        <v>258000</v>
      </c>
      <c r="R318" s="1"/>
      <c r="S318" s="1">
        <v>57000.0</v>
      </c>
      <c r="T318" s="1"/>
      <c r="U318" s="1"/>
      <c r="V318" s="1" t="s">
        <v>5</v>
      </c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81"/>
      <c r="AN318" s="81"/>
      <c r="AO318" s="81"/>
      <c r="AP318" s="81"/>
      <c r="AQ318" s="81"/>
      <c r="AR318" s="81"/>
      <c r="AS318" s="81"/>
      <c r="AT318" s="81"/>
      <c r="AU318" s="81"/>
      <c r="AV318" s="81"/>
      <c r="AW318" s="81"/>
      <c r="AX318" s="81"/>
      <c r="AY318" s="81"/>
      <c r="AZ318" s="81"/>
      <c r="BA318" s="81"/>
      <c r="BB318" s="81"/>
    </row>
    <row r="319">
      <c r="A319" s="3"/>
      <c r="B319" s="3"/>
      <c r="C319" s="3"/>
      <c r="D319" s="113">
        <v>7.73662278E8</v>
      </c>
      <c r="E319" s="70"/>
      <c r="F319" s="1" t="s">
        <v>567</v>
      </c>
      <c r="G319" s="1" t="s">
        <v>115</v>
      </c>
      <c r="H319" s="1" t="s">
        <v>27</v>
      </c>
      <c r="I319" s="1" t="s">
        <v>129</v>
      </c>
      <c r="J319" s="3">
        <f>10000</f>
        <v>10000</v>
      </c>
      <c r="K319" s="3"/>
      <c r="L319" s="3">
        <f>265000+40000-J319</f>
        <v>295000</v>
      </c>
      <c r="M319" s="1"/>
      <c r="N319" s="70"/>
      <c r="O319" s="3"/>
      <c r="P319" s="3">
        <f t="shared" si="1"/>
        <v>116000</v>
      </c>
      <c r="Q319" s="25">
        <f t="shared" si="2"/>
        <v>179000</v>
      </c>
      <c r="R319" s="3"/>
      <c r="S319" s="1">
        <v>96000.0</v>
      </c>
      <c r="T319" s="1"/>
      <c r="U319" s="1"/>
      <c r="V319" s="1" t="s">
        <v>568</v>
      </c>
      <c r="W319" s="1">
        <v>20000.0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81"/>
      <c r="AN319" s="81"/>
      <c r="AO319" s="81"/>
      <c r="AP319" s="81"/>
      <c r="AQ319" s="81"/>
      <c r="AR319" s="81"/>
      <c r="AS319" s="81"/>
      <c r="AT319" s="81"/>
      <c r="AU319" s="81"/>
      <c r="AV319" s="81"/>
      <c r="AW319" s="81"/>
      <c r="AX319" s="81"/>
      <c r="AY319" s="81"/>
      <c r="AZ319" s="81"/>
      <c r="BA319" s="81"/>
      <c r="BB319" s="81"/>
    </row>
    <row r="320">
      <c r="A320" s="3"/>
      <c r="B320" s="3"/>
      <c r="C320" s="3"/>
      <c r="D320" s="113">
        <v>7.73662278E8</v>
      </c>
      <c r="E320" s="70"/>
      <c r="F320" s="1" t="s">
        <v>569</v>
      </c>
      <c r="G320" s="1" t="s">
        <v>115</v>
      </c>
      <c r="H320" s="1" t="s">
        <v>41</v>
      </c>
      <c r="I320" s="1" t="s">
        <v>129</v>
      </c>
      <c r="J320" s="1">
        <f>18000+5000</f>
        <v>23000</v>
      </c>
      <c r="K320" s="3"/>
      <c r="L320" s="3">
        <f>285000+40000-J320</f>
        <v>302000</v>
      </c>
      <c r="M320" s="3"/>
      <c r="N320" s="70"/>
      <c r="O320" s="3"/>
      <c r="P320" s="3">
        <f t="shared" si="1"/>
        <v>111000</v>
      </c>
      <c r="Q320" s="25">
        <f t="shared" si="2"/>
        <v>191000</v>
      </c>
      <c r="R320" s="3"/>
      <c r="S320" s="1">
        <f>114000-23000</f>
        <v>91000</v>
      </c>
      <c r="T320" s="1"/>
      <c r="U320" s="1"/>
      <c r="V320" s="1" t="s">
        <v>5</v>
      </c>
      <c r="W320" s="1">
        <v>20000.0</v>
      </c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81"/>
      <c r="AN320" s="81"/>
      <c r="AO320" s="81"/>
      <c r="AP320" s="81"/>
      <c r="AQ320" s="81"/>
      <c r="AR320" s="81"/>
      <c r="AS320" s="81"/>
      <c r="AT320" s="81"/>
      <c r="AU320" s="81"/>
      <c r="AV320" s="81"/>
      <c r="AW320" s="81"/>
      <c r="AX320" s="81"/>
      <c r="AY320" s="81"/>
      <c r="AZ320" s="81"/>
      <c r="BA320" s="81"/>
      <c r="BB320" s="81"/>
    </row>
    <row r="321">
      <c r="A321" s="3"/>
      <c r="B321" s="3"/>
      <c r="C321" s="3"/>
      <c r="D321" s="122">
        <v>7.94098124E8</v>
      </c>
      <c r="E321" s="70"/>
      <c r="F321" s="1" t="s">
        <v>570</v>
      </c>
      <c r="G321" s="1" t="s">
        <v>8</v>
      </c>
      <c r="H321" s="1" t="s">
        <v>8</v>
      </c>
      <c r="I321" s="3"/>
      <c r="J321" s="1"/>
      <c r="K321" s="3"/>
      <c r="L321" s="3">
        <f>180000-J321</f>
        <v>180000</v>
      </c>
      <c r="M321" s="3"/>
      <c r="N321" s="70"/>
      <c r="O321" s="3"/>
      <c r="P321" s="3">
        <f t="shared" si="1"/>
        <v>20000</v>
      </c>
      <c r="Q321" s="25">
        <f t="shared" si="2"/>
        <v>160000</v>
      </c>
      <c r="R321" s="3"/>
      <c r="S321" s="1">
        <v>20000.0</v>
      </c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81"/>
      <c r="AN321" s="81"/>
      <c r="AO321" s="81"/>
      <c r="AP321" s="81"/>
      <c r="AQ321" s="81"/>
      <c r="AR321" s="81"/>
      <c r="AS321" s="81"/>
      <c r="AT321" s="81"/>
      <c r="AU321" s="81"/>
      <c r="AV321" s="81"/>
      <c r="AW321" s="81"/>
      <c r="AX321" s="81"/>
      <c r="AY321" s="81"/>
      <c r="AZ321" s="81"/>
      <c r="BA321" s="81"/>
      <c r="BB321" s="81"/>
    </row>
    <row r="322">
      <c r="A322" s="3"/>
      <c r="B322" s="3"/>
      <c r="C322" s="3"/>
      <c r="D322" s="105">
        <v>5.53851162E8</v>
      </c>
      <c r="E322" s="70"/>
      <c r="F322" s="1" t="s">
        <v>571</v>
      </c>
      <c r="G322" s="1" t="s">
        <v>115</v>
      </c>
      <c r="H322" s="1" t="s">
        <v>46</v>
      </c>
      <c r="I322" s="1"/>
      <c r="J322" s="1">
        <v>5000.0</v>
      </c>
      <c r="K322" s="3"/>
      <c r="L322" s="3">
        <f>300000-J322</f>
        <v>295000</v>
      </c>
      <c r="M322" s="3"/>
      <c r="N322" s="70"/>
      <c r="O322" s="3"/>
      <c r="P322" s="3">
        <f t="shared" si="1"/>
        <v>50000</v>
      </c>
      <c r="Q322" s="25">
        <f t="shared" si="2"/>
        <v>245000</v>
      </c>
      <c r="R322" s="1"/>
      <c r="S322" s="1">
        <v>50000.0</v>
      </c>
      <c r="T322" s="1"/>
      <c r="U322" s="1"/>
      <c r="V322" s="1"/>
      <c r="W322" s="1"/>
      <c r="X322" s="1"/>
      <c r="Y322" s="1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81"/>
      <c r="AN322" s="81"/>
      <c r="AO322" s="81"/>
      <c r="AP322" s="81"/>
      <c r="AQ322" s="81"/>
      <c r="AR322" s="81"/>
      <c r="AS322" s="81"/>
      <c r="AT322" s="81"/>
      <c r="AU322" s="81"/>
      <c r="AV322" s="81"/>
      <c r="AW322" s="81"/>
      <c r="AX322" s="81"/>
      <c r="AY322" s="81"/>
      <c r="AZ322" s="81"/>
      <c r="BA322" s="81"/>
      <c r="BB322" s="81"/>
    </row>
    <row r="323">
      <c r="A323" s="3"/>
      <c r="B323" s="1"/>
      <c r="C323" s="3"/>
      <c r="D323" s="105">
        <v>5.53851162E8</v>
      </c>
      <c r="E323" s="70"/>
      <c r="F323" s="1" t="s">
        <v>572</v>
      </c>
      <c r="G323" s="1" t="s">
        <v>144</v>
      </c>
      <c r="H323" s="1" t="s">
        <v>52</v>
      </c>
      <c r="I323" s="3"/>
      <c r="J323" s="1">
        <v>5000.0</v>
      </c>
      <c r="K323" s="3"/>
      <c r="L323" s="3">
        <f>345000-J323</f>
        <v>340000</v>
      </c>
      <c r="M323" s="3"/>
      <c r="N323" s="70"/>
      <c r="O323" s="3"/>
      <c r="P323" s="3">
        <f t="shared" si="1"/>
        <v>50000</v>
      </c>
      <c r="Q323" s="25">
        <f t="shared" si="2"/>
        <v>290000</v>
      </c>
      <c r="R323" s="1"/>
      <c r="S323" s="1">
        <v>50000.0</v>
      </c>
      <c r="T323" s="1"/>
      <c r="U323" s="1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81"/>
      <c r="AN323" s="81"/>
      <c r="AO323" s="81"/>
      <c r="AP323" s="81"/>
      <c r="AQ323" s="81"/>
      <c r="AR323" s="81"/>
      <c r="AS323" s="81"/>
      <c r="AT323" s="81"/>
      <c r="AU323" s="81"/>
      <c r="AV323" s="81"/>
      <c r="AW323" s="81"/>
      <c r="AX323" s="81"/>
      <c r="AY323" s="81"/>
      <c r="AZ323" s="81"/>
      <c r="BA323" s="81"/>
      <c r="BB323" s="81"/>
    </row>
    <row r="324">
      <c r="A324" s="1"/>
      <c r="B324" s="3"/>
      <c r="C324" s="3"/>
      <c r="D324" s="105">
        <v>5.53851162E8</v>
      </c>
      <c r="E324" s="70"/>
      <c r="F324" s="1" t="s">
        <v>573</v>
      </c>
      <c r="G324" s="1" t="s">
        <v>144</v>
      </c>
      <c r="H324" s="1" t="s">
        <v>56</v>
      </c>
      <c r="I324" s="3"/>
      <c r="J324" s="1">
        <v>5000.0</v>
      </c>
      <c r="K324" s="3"/>
      <c r="L324" s="3">
        <f>355000-J324</f>
        <v>350000</v>
      </c>
      <c r="M324" s="3"/>
      <c r="N324" s="70"/>
      <c r="O324" s="3"/>
      <c r="P324" s="3">
        <f t="shared" si="1"/>
        <v>50000</v>
      </c>
      <c r="Q324" s="25">
        <f t="shared" si="2"/>
        <v>300000</v>
      </c>
      <c r="R324" s="3"/>
      <c r="S324" s="1">
        <v>50000.0</v>
      </c>
      <c r="T324" s="1"/>
      <c r="U324" s="1"/>
      <c r="V324" s="3"/>
      <c r="W324" s="3"/>
      <c r="X324" s="1"/>
      <c r="Y324" s="1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81"/>
      <c r="AN324" s="81"/>
      <c r="AO324" s="81"/>
      <c r="AP324" s="81"/>
      <c r="AQ324" s="81"/>
      <c r="AR324" s="81"/>
      <c r="AS324" s="81"/>
      <c r="AT324" s="81"/>
      <c r="AU324" s="81"/>
      <c r="AV324" s="81"/>
      <c r="AW324" s="81"/>
      <c r="AX324" s="81"/>
      <c r="AY324" s="81"/>
      <c r="AZ324" s="81"/>
      <c r="BA324" s="81"/>
      <c r="BB324" s="81"/>
    </row>
    <row r="325">
      <c r="A325" s="1"/>
      <c r="B325" s="3"/>
      <c r="C325" s="3"/>
      <c r="D325" s="105">
        <v>5.53851162E8</v>
      </c>
      <c r="E325" s="105" t="s">
        <v>166</v>
      </c>
      <c r="F325" s="1" t="s">
        <v>574</v>
      </c>
      <c r="G325" s="1" t="s">
        <v>8</v>
      </c>
      <c r="H325" s="1" t="s">
        <v>8</v>
      </c>
      <c r="I325" s="3"/>
      <c r="J325" s="1">
        <v>5000.0</v>
      </c>
      <c r="K325" s="3"/>
      <c r="L325" s="3">
        <f>180000-J325</f>
        <v>175000</v>
      </c>
      <c r="M325" s="3"/>
      <c r="N325" s="105"/>
      <c r="O325" s="1"/>
      <c r="P325" s="3">
        <f t="shared" si="1"/>
        <v>50000</v>
      </c>
      <c r="Q325" s="25">
        <f t="shared" si="2"/>
        <v>125000</v>
      </c>
      <c r="R325" s="1"/>
      <c r="S325" s="1">
        <v>50000.0</v>
      </c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81"/>
      <c r="AN325" s="81"/>
      <c r="AO325" s="81"/>
      <c r="AP325" s="81"/>
      <c r="AQ325" s="81"/>
      <c r="AR325" s="81"/>
      <c r="AS325" s="81"/>
      <c r="AT325" s="81"/>
      <c r="AU325" s="81"/>
      <c r="AV325" s="81"/>
      <c r="AW325" s="81"/>
      <c r="AX325" s="81"/>
      <c r="AY325" s="81"/>
      <c r="AZ325" s="81"/>
      <c r="BA325" s="81"/>
      <c r="BB325" s="81"/>
    </row>
    <row r="326">
      <c r="A326" s="3"/>
      <c r="B326" s="3"/>
      <c r="C326" s="3"/>
      <c r="D326" s="113" t="s">
        <v>575</v>
      </c>
      <c r="E326" s="70"/>
      <c r="F326" s="1" t="s">
        <v>576</v>
      </c>
      <c r="G326" s="1" t="s">
        <v>144</v>
      </c>
      <c r="H326" s="1" t="s">
        <v>49</v>
      </c>
      <c r="I326" s="3"/>
      <c r="J326" s="1">
        <v>10000.0</v>
      </c>
      <c r="K326" s="3"/>
      <c r="L326" s="3">
        <f>330000+55000-J326</f>
        <v>375000</v>
      </c>
      <c r="M326" s="3"/>
      <c r="N326" s="70"/>
      <c r="O326" s="3"/>
      <c r="P326" s="3">
        <f t="shared" si="1"/>
        <v>40000</v>
      </c>
      <c r="Q326" s="25">
        <f t="shared" si="2"/>
        <v>335000</v>
      </c>
      <c r="R326" s="3"/>
      <c r="S326" s="1">
        <v>40000.0</v>
      </c>
      <c r="T326" s="1"/>
      <c r="U326" s="1"/>
      <c r="V326" s="1" t="s">
        <v>577</v>
      </c>
      <c r="W326" s="1"/>
      <c r="X326" s="1"/>
      <c r="Y326" s="1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81"/>
      <c r="AN326" s="81"/>
      <c r="AO326" s="81"/>
      <c r="AP326" s="81"/>
      <c r="AQ326" s="81"/>
      <c r="AR326" s="81"/>
      <c r="AS326" s="81"/>
      <c r="AT326" s="81"/>
      <c r="AU326" s="81"/>
      <c r="AV326" s="81"/>
      <c r="AW326" s="81"/>
      <c r="AX326" s="81"/>
      <c r="AY326" s="81"/>
      <c r="AZ326" s="81"/>
      <c r="BA326" s="81"/>
      <c r="BB326" s="81"/>
    </row>
    <row r="327">
      <c r="A327" s="3"/>
      <c r="B327" s="3"/>
      <c r="C327" s="3"/>
      <c r="D327" s="105">
        <v>7.70561279E8</v>
      </c>
      <c r="E327" s="70"/>
      <c r="F327" s="1" t="s">
        <v>578</v>
      </c>
      <c r="G327" s="1" t="s">
        <v>171</v>
      </c>
      <c r="H327" s="1" t="s">
        <v>226</v>
      </c>
      <c r="I327" s="1" t="s">
        <v>129</v>
      </c>
      <c r="J327" s="3"/>
      <c r="K327" s="3"/>
      <c r="L327" s="3">
        <f>25000+350000+55000-J327</f>
        <v>430000</v>
      </c>
      <c r="M327" s="3"/>
      <c r="N327" s="70"/>
      <c r="O327" s="3"/>
      <c r="P327" s="3">
        <f t="shared" si="1"/>
        <v>0</v>
      </c>
      <c r="Q327" s="25">
        <f t="shared" si="2"/>
        <v>430000</v>
      </c>
      <c r="R327" s="3"/>
      <c r="S327" s="1"/>
      <c r="T327" s="1"/>
      <c r="U327" s="1"/>
      <c r="V327" s="1" t="s">
        <v>259</v>
      </c>
      <c r="W327" s="1"/>
      <c r="X327" s="1"/>
      <c r="Y327" s="1"/>
      <c r="Z327" s="3"/>
      <c r="AA327" s="3"/>
      <c r="AB327" s="3"/>
      <c r="AC327" s="3"/>
      <c r="AD327" s="1"/>
      <c r="AE327" s="3"/>
      <c r="AF327" s="3"/>
      <c r="AG327" s="3"/>
      <c r="AH327" s="3"/>
      <c r="AI327" s="3"/>
      <c r="AJ327" s="3"/>
      <c r="AK327" s="3"/>
      <c r="AL327" s="3"/>
      <c r="AM327" s="81"/>
      <c r="AN327" s="81"/>
      <c r="AO327" s="81"/>
      <c r="AP327" s="81"/>
      <c r="AQ327" s="81"/>
      <c r="AR327" s="81"/>
      <c r="AS327" s="81"/>
      <c r="AT327" s="81"/>
      <c r="AU327" s="81"/>
      <c r="AV327" s="81"/>
      <c r="AW327" s="81"/>
      <c r="AX327" s="81"/>
      <c r="AY327" s="81"/>
      <c r="AZ327" s="81"/>
      <c r="BA327" s="81"/>
      <c r="BB327" s="81"/>
    </row>
    <row r="328">
      <c r="A328" s="3"/>
      <c r="B328" s="3"/>
      <c r="C328" s="3"/>
      <c r="D328" s="105">
        <v>7.70561279E8</v>
      </c>
      <c r="E328" s="70"/>
      <c r="F328" s="1" t="s">
        <v>579</v>
      </c>
      <c r="G328" s="1" t="s">
        <v>144</v>
      </c>
      <c r="H328" s="1" t="s">
        <v>52</v>
      </c>
      <c r="I328" s="1" t="s">
        <v>129</v>
      </c>
      <c r="J328" s="3"/>
      <c r="K328" s="3"/>
      <c r="L328" s="3">
        <f>25000+320000+55000-J328</f>
        <v>400000</v>
      </c>
      <c r="M328" s="3"/>
      <c r="N328" s="70"/>
      <c r="O328" s="3"/>
      <c r="P328" s="3">
        <f t="shared" si="1"/>
        <v>0</v>
      </c>
      <c r="Q328" s="25">
        <f t="shared" si="2"/>
        <v>400000</v>
      </c>
      <c r="R328" s="3"/>
      <c r="S328" s="1"/>
      <c r="T328" s="1"/>
      <c r="U328" s="1"/>
      <c r="V328" s="1" t="s">
        <v>259</v>
      </c>
      <c r="W328" s="1"/>
      <c r="X328" s="1"/>
      <c r="Y328" s="1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81"/>
      <c r="AN328" s="81"/>
      <c r="AO328" s="81"/>
      <c r="AP328" s="81"/>
      <c r="AQ328" s="81"/>
      <c r="AR328" s="81"/>
      <c r="AS328" s="81"/>
      <c r="AT328" s="81"/>
      <c r="AU328" s="81"/>
      <c r="AV328" s="81"/>
      <c r="AW328" s="81"/>
      <c r="AX328" s="81"/>
      <c r="AY328" s="81"/>
      <c r="AZ328" s="81"/>
      <c r="BA328" s="81"/>
      <c r="BB328" s="81"/>
    </row>
    <row r="329">
      <c r="A329" s="1"/>
      <c r="B329" s="3"/>
      <c r="C329" s="3"/>
      <c r="D329" s="105">
        <v>7.70561279E8</v>
      </c>
      <c r="E329" s="70"/>
      <c r="F329" s="1" t="s">
        <v>580</v>
      </c>
      <c r="G329" s="1" t="s">
        <v>144</v>
      </c>
      <c r="H329" s="1" t="s">
        <v>49</v>
      </c>
      <c r="I329" s="1" t="s">
        <v>129</v>
      </c>
      <c r="J329" s="3"/>
      <c r="K329" s="3"/>
      <c r="L329" s="3">
        <f>25000+305000+55000-J329</f>
        <v>385000</v>
      </c>
      <c r="M329" s="3"/>
      <c r="N329" s="70"/>
      <c r="O329" s="3"/>
      <c r="P329" s="3">
        <f t="shared" si="1"/>
        <v>0</v>
      </c>
      <c r="Q329" s="25">
        <f t="shared" si="2"/>
        <v>385000</v>
      </c>
      <c r="R329" s="3"/>
      <c r="S329" s="1"/>
      <c r="T329" s="1"/>
      <c r="U329" s="1"/>
      <c r="V329" s="1" t="s">
        <v>581</v>
      </c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81"/>
      <c r="AN329" s="81"/>
      <c r="AO329" s="81"/>
      <c r="AP329" s="81"/>
      <c r="AQ329" s="81"/>
      <c r="AR329" s="81"/>
      <c r="AS329" s="81"/>
      <c r="AT329" s="81"/>
      <c r="AU329" s="81"/>
      <c r="AV329" s="81"/>
      <c r="AW329" s="81"/>
      <c r="AX329" s="81"/>
      <c r="AY329" s="81"/>
      <c r="AZ329" s="81"/>
      <c r="BA329" s="81"/>
      <c r="BB329" s="81"/>
    </row>
    <row r="330">
      <c r="A330" s="1"/>
      <c r="B330" s="3"/>
      <c r="C330" s="3"/>
      <c r="D330" s="105">
        <v>5.54262372E8</v>
      </c>
      <c r="E330" s="105" t="s">
        <v>166</v>
      </c>
      <c r="F330" s="1" t="s">
        <v>582</v>
      </c>
      <c r="G330" s="1" t="s">
        <v>115</v>
      </c>
      <c r="H330" s="1" t="s">
        <v>17</v>
      </c>
      <c r="I330" s="3"/>
      <c r="J330" s="1">
        <v>18000.0</v>
      </c>
      <c r="K330" s="3"/>
      <c r="L330" s="3">
        <f>245000-J330</f>
        <v>227000</v>
      </c>
      <c r="M330" s="3"/>
      <c r="N330" s="70"/>
      <c r="O330" s="3"/>
      <c r="P330" s="3">
        <f t="shared" si="1"/>
        <v>80000</v>
      </c>
      <c r="Q330" s="25">
        <f t="shared" si="2"/>
        <v>147000</v>
      </c>
      <c r="R330" s="1"/>
      <c r="S330" s="1">
        <v>80000.0</v>
      </c>
      <c r="T330" s="1"/>
      <c r="U330" s="1"/>
      <c r="V330" s="3"/>
      <c r="W330" s="1"/>
      <c r="X330" s="1"/>
      <c r="Y330" s="1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81"/>
      <c r="AN330" s="81"/>
      <c r="AO330" s="81"/>
      <c r="AP330" s="81"/>
      <c r="AQ330" s="81"/>
      <c r="AR330" s="81"/>
      <c r="AS330" s="81"/>
      <c r="AT330" s="81"/>
      <c r="AU330" s="81"/>
      <c r="AV330" s="81"/>
      <c r="AW330" s="81"/>
      <c r="AX330" s="81"/>
      <c r="AY330" s="81"/>
      <c r="AZ330" s="81"/>
      <c r="BA330" s="81"/>
      <c r="BB330" s="81"/>
    </row>
    <row r="331">
      <c r="A331" s="3"/>
      <c r="B331" s="3"/>
      <c r="C331" s="3"/>
      <c r="D331" s="105">
        <v>6.71324234E8</v>
      </c>
      <c r="E331" s="70"/>
      <c r="F331" s="1" t="s">
        <v>583</v>
      </c>
      <c r="G331" s="1" t="s">
        <v>115</v>
      </c>
      <c r="H331" s="1" t="s">
        <v>27</v>
      </c>
      <c r="I331" s="3"/>
      <c r="J331" s="3">
        <f>5000+26500</f>
        <v>31500</v>
      </c>
      <c r="K331" s="3"/>
      <c r="L331" s="3">
        <f>265000-J331</f>
        <v>233500</v>
      </c>
      <c r="M331" s="3"/>
      <c r="N331" s="70"/>
      <c r="O331" s="3"/>
      <c r="P331" s="3">
        <f t="shared" si="1"/>
        <v>233500</v>
      </c>
      <c r="Q331" s="25">
        <f t="shared" si="2"/>
        <v>0</v>
      </c>
      <c r="R331" s="1"/>
      <c r="S331" s="1">
        <v>233500.0</v>
      </c>
      <c r="T331" s="1"/>
      <c r="U331" s="1"/>
      <c r="V331" s="1"/>
      <c r="W331" s="1"/>
      <c r="X331" s="1"/>
      <c r="Y331" s="1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81"/>
      <c r="AN331" s="81"/>
      <c r="AO331" s="81"/>
      <c r="AP331" s="81"/>
      <c r="AQ331" s="81"/>
      <c r="AR331" s="81"/>
      <c r="AS331" s="81"/>
      <c r="AT331" s="81"/>
      <c r="AU331" s="81"/>
      <c r="AV331" s="81"/>
      <c r="AW331" s="81"/>
      <c r="AX331" s="81"/>
      <c r="AY331" s="81"/>
      <c r="AZ331" s="81"/>
      <c r="BA331" s="81"/>
      <c r="BB331" s="81"/>
    </row>
    <row r="332">
      <c r="A332" s="3"/>
      <c r="B332" s="1"/>
      <c r="C332" s="3"/>
      <c r="D332" s="122">
        <v>5.55616886E8</v>
      </c>
      <c r="E332" s="105"/>
      <c r="F332" s="1" t="s">
        <v>584</v>
      </c>
      <c r="G332" s="1" t="s">
        <v>144</v>
      </c>
      <c r="H332" s="1" t="s">
        <v>52</v>
      </c>
      <c r="I332" s="3"/>
      <c r="J332" s="3">
        <f>10000+32000+5000</f>
        <v>47000</v>
      </c>
      <c r="K332" s="3"/>
      <c r="L332" s="3">
        <f>25000+320000-J332</f>
        <v>298000</v>
      </c>
      <c r="M332" s="3"/>
      <c r="N332" s="105"/>
      <c r="O332" s="1"/>
      <c r="P332" s="3">
        <f t="shared" si="1"/>
        <v>298000</v>
      </c>
      <c r="Q332" s="25">
        <f t="shared" si="2"/>
        <v>0</v>
      </c>
      <c r="R332" s="1"/>
      <c r="S332" s="1">
        <v>106000.0</v>
      </c>
      <c r="T332" s="1">
        <v>96000.0</v>
      </c>
      <c r="U332" s="1">
        <v>96000.0</v>
      </c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81"/>
      <c r="AN332" s="81"/>
      <c r="AO332" s="81"/>
      <c r="AP332" s="81"/>
      <c r="AQ332" s="81"/>
      <c r="AR332" s="81"/>
      <c r="AS332" s="81"/>
      <c r="AT332" s="81"/>
      <c r="AU332" s="81"/>
      <c r="AV332" s="81"/>
      <c r="AW332" s="81"/>
      <c r="AX332" s="81"/>
      <c r="AY332" s="81"/>
      <c r="AZ332" s="81"/>
      <c r="BA332" s="81"/>
      <c r="BB332" s="81"/>
    </row>
    <row r="333">
      <c r="A333" s="3"/>
      <c r="B333" s="3"/>
      <c r="C333" s="3"/>
      <c r="D333" s="122">
        <v>5.55616886E8</v>
      </c>
      <c r="E333" s="70"/>
      <c r="F333" s="1" t="s">
        <v>585</v>
      </c>
      <c r="G333" s="1" t="s">
        <v>115</v>
      </c>
      <c r="H333" s="1" t="s">
        <v>43</v>
      </c>
      <c r="I333" s="1"/>
      <c r="J333" s="1">
        <f>20000+30000+15000+5000</f>
        <v>70000</v>
      </c>
      <c r="K333" s="3"/>
      <c r="L333" s="3">
        <f>300000-J333</f>
        <v>230000</v>
      </c>
      <c r="M333" s="3"/>
      <c r="N333" s="70"/>
      <c r="O333" s="3"/>
      <c r="P333" s="3">
        <f t="shared" si="1"/>
        <v>230000</v>
      </c>
      <c r="Q333" s="25">
        <f t="shared" si="2"/>
        <v>0</v>
      </c>
      <c r="R333" s="3"/>
      <c r="S333" s="1">
        <v>50000.0</v>
      </c>
      <c r="T333" s="1">
        <v>90000.0</v>
      </c>
      <c r="U333" s="1">
        <v>90000.0</v>
      </c>
      <c r="V333" s="1"/>
      <c r="W333" s="1"/>
      <c r="X333" s="1"/>
      <c r="Y333" s="1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81"/>
      <c r="AN333" s="81"/>
      <c r="AO333" s="81"/>
      <c r="AP333" s="81"/>
      <c r="AQ333" s="81"/>
      <c r="AR333" s="81"/>
      <c r="AS333" s="81"/>
      <c r="AT333" s="81"/>
      <c r="AU333" s="81"/>
      <c r="AV333" s="81"/>
      <c r="AW333" s="81"/>
      <c r="AX333" s="81"/>
      <c r="AY333" s="81"/>
      <c r="AZ333" s="81"/>
      <c r="BA333" s="81"/>
      <c r="BB333" s="81"/>
    </row>
    <row r="334">
      <c r="A334" s="3"/>
      <c r="B334" s="3"/>
      <c r="C334" s="3"/>
      <c r="D334" s="105">
        <v>5.53823131E8</v>
      </c>
      <c r="E334" s="105"/>
      <c r="F334" s="1" t="s">
        <v>586</v>
      </c>
      <c r="G334" s="1" t="s">
        <v>171</v>
      </c>
      <c r="H334" s="1" t="s">
        <v>198</v>
      </c>
      <c r="I334" s="3"/>
      <c r="J334" s="1"/>
      <c r="K334" s="3"/>
      <c r="L334" s="3">
        <f>25000+355000-J334</f>
        <v>380000</v>
      </c>
      <c r="M334" s="3"/>
      <c r="N334" s="70"/>
      <c r="O334" s="3"/>
      <c r="P334" s="3">
        <f t="shared" si="1"/>
        <v>25000</v>
      </c>
      <c r="Q334" s="25">
        <f t="shared" si="2"/>
        <v>355000</v>
      </c>
      <c r="R334" s="1"/>
      <c r="S334" s="1">
        <v>25000.0</v>
      </c>
      <c r="T334" s="1"/>
      <c r="U334" s="1"/>
      <c r="V334" s="1"/>
      <c r="W334" s="1"/>
      <c r="X334" s="1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81"/>
      <c r="AN334" s="81"/>
      <c r="AO334" s="81"/>
      <c r="AP334" s="81"/>
      <c r="AQ334" s="81"/>
      <c r="AR334" s="81"/>
      <c r="AS334" s="81"/>
      <c r="AT334" s="81"/>
      <c r="AU334" s="81"/>
      <c r="AV334" s="81"/>
      <c r="AW334" s="81"/>
      <c r="AX334" s="81"/>
      <c r="AY334" s="81"/>
      <c r="AZ334" s="81"/>
      <c r="BA334" s="81"/>
      <c r="BB334" s="81"/>
    </row>
    <row r="335">
      <c r="A335" s="3"/>
      <c r="B335" s="3"/>
      <c r="C335" s="3"/>
      <c r="D335" s="105">
        <v>5.50112016E8</v>
      </c>
      <c r="E335" s="105"/>
      <c r="F335" s="1" t="s">
        <v>587</v>
      </c>
      <c r="G335" s="1" t="s">
        <v>115</v>
      </c>
      <c r="H335" s="1" t="s">
        <v>46</v>
      </c>
      <c r="I335" s="3"/>
      <c r="J335" s="1">
        <v>15000.0</v>
      </c>
      <c r="K335" s="3"/>
      <c r="L335" s="3">
        <f>300000-J335</f>
        <v>285000</v>
      </c>
      <c r="M335" s="3"/>
      <c r="N335" s="70"/>
      <c r="O335" s="3"/>
      <c r="P335" s="3">
        <f t="shared" si="1"/>
        <v>105000</v>
      </c>
      <c r="Q335" s="25">
        <f t="shared" si="2"/>
        <v>180000</v>
      </c>
      <c r="R335" s="1"/>
      <c r="S335" s="1">
        <v>105000.0</v>
      </c>
      <c r="T335" s="1"/>
      <c r="U335" s="1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107"/>
      <c r="AN335" s="81"/>
      <c r="AO335" s="81"/>
      <c r="AP335" s="81"/>
      <c r="AQ335" s="81"/>
      <c r="AR335" s="81"/>
      <c r="AS335" s="81"/>
      <c r="AT335" s="81"/>
      <c r="AU335" s="81"/>
      <c r="AV335" s="81"/>
      <c r="AW335" s="81"/>
      <c r="AX335" s="81"/>
      <c r="AY335" s="81"/>
      <c r="AZ335" s="81"/>
      <c r="BA335" s="81"/>
      <c r="BB335" s="81"/>
    </row>
    <row r="336">
      <c r="A336" s="3"/>
      <c r="B336" s="1"/>
      <c r="C336" s="3"/>
      <c r="D336" s="105" t="s">
        <v>588</v>
      </c>
      <c r="E336" s="70"/>
      <c r="F336" s="1" t="s">
        <v>589</v>
      </c>
      <c r="G336" s="1" t="s">
        <v>115</v>
      </c>
      <c r="H336" s="1" t="s">
        <v>27</v>
      </c>
      <c r="I336" s="3"/>
      <c r="J336" s="1"/>
      <c r="K336" s="3"/>
      <c r="L336" s="3">
        <f>265000-J336</f>
        <v>265000</v>
      </c>
      <c r="M336" s="3"/>
      <c r="N336" s="70"/>
      <c r="O336" s="3"/>
      <c r="P336" s="3">
        <f t="shared" si="1"/>
        <v>25000</v>
      </c>
      <c r="Q336" s="25">
        <f t="shared" si="2"/>
        <v>240000</v>
      </c>
      <c r="R336" s="1"/>
      <c r="S336" s="1">
        <v>25000.0</v>
      </c>
      <c r="T336" s="1"/>
      <c r="U336" s="1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81"/>
      <c r="AN336" s="81"/>
      <c r="AO336" s="81"/>
      <c r="AP336" s="81"/>
      <c r="AQ336" s="81"/>
      <c r="AR336" s="81"/>
      <c r="AS336" s="81"/>
      <c r="AT336" s="81"/>
      <c r="AU336" s="81"/>
      <c r="AV336" s="81"/>
      <c r="AW336" s="81"/>
      <c r="AX336" s="81"/>
      <c r="AY336" s="81"/>
      <c r="AZ336" s="81"/>
      <c r="BA336" s="81"/>
      <c r="BB336" s="81"/>
    </row>
    <row r="337">
      <c r="A337" s="3"/>
      <c r="B337" s="3"/>
      <c r="C337" s="3"/>
      <c r="D337" s="122">
        <v>6.6983894E8</v>
      </c>
      <c r="E337" s="70"/>
      <c r="F337" s="1" t="s">
        <v>590</v>
      </c>
      <c r="G337" s="1" t="s">
        <v>171</v>
      </c>
      <c r="H337" s="1" t="s">
        <v>198</v>
      </c>
      <c r="I337" s="3"/>
      <c r="J337" s="3">
        <f>38000+13000</f>
        <v>51000</v>
      </c>
      <c r="K337" s="3"/>
      <c r="L337" s="3">
        <f>25000+355000-J337</f>
        <v>329000</v>
      </c>
      <c r="M337" s="3"/>
      <c r="N337" s="70"/>
      <c r="O337" s="3"/>
      <c r="P337" s="3">
        <f t="shared" si="1"/>
        <v>329000</v>
      </c>
      <c r="Q337" s="25">
        <f t="shared" si="2"/>
        <v>0</v>
      </c>
      <c r="R337" s="3"/>
      <c r="S337" s="1">
        <v>116000.0</v>
      </c>
      <c r="T337" s="1">
        <v>106500.0</v>
      </c>
      <c r="U337" s="1">
        <v>106500.0</v>
      </c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81"/>
      <c r="AN337" s="81"/>
      <c r="AO337" s="81"/>
      <c r="AP337" s="81"/>
      <c r="AQ337" s="81"/>
      <c r="AR337" s="81"/>
      <c r="AS337" s="81"/>
      <c r="AT337" s="81"/>
      <c r="AU337" s="81"/>
      <c r="AV337" s="81"/>
      <c r="AW337" s="81"/>
      <c r="AX337" s="81"/>
      <c r="AY337" s="81"/>
      <c r="AZ337" s="81"/>
      <c r="BA337" s="81"/>
      <c r="BB337" s="81"/>
    </row>
    <row r="338">
      <c r="A338" s="3"/>
      <c r="B338" s="3"/>
      <c r="C338" s="3"/>
      <c r="D338" s="105">
        <v>7.70766694E8</v>
      </c>
      <c r="E338" s="70"/>
      <c r="F338" s="1" t="s">
        <v>591</v>
      </c>
      <c r="G338" s="1" t="s">
        <v>144</v>
      </c>
      <c r="H338" s="1" t="s">
        <v>58</v>
      </c>
      <c r="I338" s="1" t="s">
        <v>129</v>
      </c>
      <c r="J338" s="1">
        <v>75200.0</v>
      </c>
      <c r="K338" s="3"/>
      <c r="L338" s="3">
        <f>370000+45000-J338</f>
        <v>339800</v>
      </c>
      <c r="M338" s="3"/>
      <c r="N338" s="70"/>
      <c r="O338" s="3"/>
      <c r="P338" s="3">
        <f t="shared" si="1"/>
        <v>294800</v>
      </c>
      <c r="Q338" s="25">
        <f t="shared" si="2"/>
        <v>45000</v>
      </c>
      <c r="R338" s="3"/>
      <c r="S338" s="1">
        <f>135800-45000</f>
        <v>90800</v>
      </c>
      <c r="T338" s="1">
        <v>102000.0</v>
      </c>
      <c r="U338" s="1">
        <v>102000.0</v>
      </c>
      <c r="V338" s="1" t="s">
        <v>29</v>
      </c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81"/>
      <c r="AN338" s="81"/>
      <c r="AO338" s="81"/>
      <c r="AP338" s="81"/>
      <c r="AQ338" s="81"/>
      <c r="AR338" s="81"/>
      <c r="AS338" s="81"/>
      <c r="AT338" s="81"/>
      <c r="AU338" s="81"/>
      <c r="AV338" s="81"/>
      <c r="AW338" s="81"/>
      <c r="AX338" s="81"/>
      <c r="AY338" s="81"/>
      <c r="AZ338" s="81"/>
      <c r="BA338" s="81"/>
      <c r="BB338" s="81"/>
    </row>
    <row r="339">
      <c r="A339" s="3"/>
      <c r="B339" s="3"/>
      <c r="C339" s="3"/>
      <c r="D339" s="105">
        <v>7.70766694E8</v>
      </c>
      <c r="E339" s="70"/>
      <c r="F339" s="1" t="s">
        <v>592</v>
      </c>
      <c r="G339" s="1" t="s">
        <v>115</v>
      </c>
      <c r="H339" s="1" t="s">
        <v>46</v>
      </c>
      <c r="I339" s="1" t="s">
        <v>129</v>
      </c>
      <c r="J339" s="1">
        <v>75200.0</v>
      </c>
      <c r="K339" s="3"/>
      <c r="L339" s="3">
        <f t="shared" ref="L339:L340" si="22">300000+45000-J339</f>
        <v>269800</v>
      </c>
      <c r="M339" s="3"/>
      <c r="N339" s="70"/>
      <c r="O339" s="3"/>
      <c r="P339" s="3">
        <f t="shared" si="1"/>
        <v>224800</v>
      </c>
      <c r="Q339" s="25">
        <f t="shared" si="2"/>
        <v>45000</v>
      </c>
      <c r="R339" s="1"/>
      <c r="S339" s="1">
        <f>89800-45000</f>
        <v>44800</v>
      </c>
      <c r="T339" s="1">
        <v>90000.0</v>
      </c>
      <c r="U339" s="1">
        <v>90000.0</v>
      </c>
      <c r="V339" s="1" t="s">
        <v>29</v>
      </c>
      <c r="W339" s="1"/>
      <c r="X339" s="1"/>
      <c r="Y339" s="1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81"/>
      <c r="AN339" s="81"/>
      <c r="AO339" s="81"/>
      <c r="AP339" s="81"/>
      <c r="AQ339" s="81"/>
      <c r="AR339" s="81"/>
      <c r="AS339" s="81"/>
      <c r="AT339" s="81"/>
      <c r="AU339" s="81"/>
      <c r="AV339" s="81"/>
      <c r="AW339" s="81"/>
      <c r="AX339" s="81"/>
      <c r="AY339" s="81"/>
      <c r="AZ339" s="81"/>
      <c r="BA339" s="81"/>
      <c r="BB339" s="81"/>
    </row>
    <row r="340">
      <c r="A340" s="3"/>
      <c r="B340" s="3"/>
      <c r="C340" s="3"/>
      <c r="D340" s="105">
        <v>7.70766694E8</v>
      </c>
      <c r="E340" s="70"/>
      <c r="F340" s="1" t="s">
        <v>593</v>
      </c>
      <c r="G340" s="1" t="s">
        <v>115</v>
      </c>
      <c r="H340" s="1" t="s">
        <v>46</v>
      </c>
      <c r="I340" s="1" t="s">
        <v>129</v>
      </c>
      <c r="J340" s="1">
        <f>75200+4400</f>
        <v>79600</v>
      </c>
      <c r="K340" s="3"/>
      <c r="L340" s="3">
        <f t="shared" si="22"/>
        <v>265400</v>
      </c>
      <c r="M340" s="3"/>
      <c r="N340" s="70"/>
      <c r="O340" s="3"/>
      <c r="P340" s="3">
        <f t="shared" si="1"/>
        <v>220400</v>
      </c>
      <c r="Q340" s="25">
        <f t="shared" si="2"/>
        <v>45000</v>
      </c>
      <c r="R340" s="3"/>
      <c r="S340" s="1">
        <f>85400-45000</f>
        <v>40400</v>
      </c>
      <c r="T340" s="1">
        <v>90000.0</v>
      </c>
      <c r="U340" s="1">
        <v>90000.0</v>
      </c>
      <c r="V340" s="1" t="s">
        <v>29</v>
      </c>
      <c r="W340" s="3"/>
      <c r="X340" s="1"/>
      <c r="Y340" s="1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81"/>
      <c r="AN340" s="81"/>
      <c r="AO340" s="81"/>
      <c r="AP340" s="81"/>
      <c r="AQ340" s="81"/>
      <c r="AR340" s="81"/>
      <c r="AS340" s="81"/>
      <c r="AT340" s="81"/>
      <c r="AU340" s="81"/>
      <c r="AV340" s="81"/>
      <c r="AW340" s="81"/>
      <c r="AX340" s="81"/>
      <c r="AY340" s="81"/>
      <c r="AZ340" s="81"/>
      <c r="BA340" s="81"/>
      <c r="BB340" s="81"/>
    </row>
    <row r="341">
      <c r="A341" s="3"/>
      <c r="B341" s="3"/>
      <c r="C341" s="3"/>
      <c r="D341" s="105">
        <v>6.62790222E8</v>
      </c>
      <c r="E341" s="70"/>
      <c r="F341" s="1" t="s">
        <v>594</v>
      </c>
      <c r="G341" s="1" t="s">
        <v>115</v>
      </c>
      <c r="H341" s="1" t="s">
        <v>41</v>
      </c>
      <c r="I341" s="1" t="s">
        <v>129</v>
      </c>
      <c r="J341" s="1">
        <v>5000.0</v>
      </c>
      <c r="K341" s="3"/>
      <c r="L341" s="3">
        <f>285000+52000-J341</f>
        <v>332000</v>
      </c>
      <c r="M341" s="3"/>
      <c r="N341" s="70"/>
      <c r="O341" s="3"/>
      <c r="P341" s="3">
        <f t="shared" si="1"/>
        <v>30000</v>
      </c>
      <c r="Q341" s="25">
        <f t="shared" si="2"/>
        <v>302000</v>
      </c>
      <c r="R341" s="3"/>
      <c r="S341" s="1">
        <v>30000.0</v>
      </c>
      <c r="T341" s="3"/>
      <c r="U341" s="3"/>
      <c r="V341" s="1" t="s">
        <v>595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81"/>
      <c r="AN341" s="81"/>
      <c r="AO341" s="81"/>
      <c r="AP341" s="81"/>
      <c r="AQ341" s="81"/>
      <c r="AR341" s="81"/>
      <c r="AS341" s="81"/>
      <c r="AT341" s="81"/>
      <c r="AU341" s="81"/>
      <c r="AV341" s="81"/>
      <c r="AW341" s="81"/>
      <c r="AX341" s="81"/>
      <c r="AY341" s="81"/>
      <c r="AZ341" s="81"/>
      <c r="BA341" s="81"/>
      <c r="BB341" s="81"/>
    </row>
    <row r="342">
      <c r="A342" s="3"/>
      <c r="B342" s="3"/>
      <c r="C342" s="3"/>
      <c r="D342" s="105">
        <v>6.62790222E8</v>
      </c>
      <c r="E342" s="70"/>
      <c r="F342" s="1" t="s">
        <v>596</v>
      </c>
      <c r="G342" s="1" t="s">
        <v>144</v>
      </c>
      <c r="H342" s="1" t="s">
        <v>58</v>
      </c>
      <c r="I342" s="1" t="s">
        <v>129</v>
      </c>
      <c r="J342" s="1">
        <v>5000.0</v>
      </c>
      <c r="K342" s="3"/>
      <c r="L342" s="3">
        <f>370000+52000-J342</f>
        <v>417000</v>
      </c>
      <c r="M342" s="3"/>
      <c r="N342" s="70"/>
      <c r="O342" s="3"/>
      <c r="P342" s="3">
        <f t="shared" si="1"/>
        <v>30000</v>
      </c>
      <c r="Q342" s="25">
        <f t="shared" si="2"/>
        <v>387000</v>
      </c>
      <c r="R342" s="3"/>
      <c r="S342" s="1">
        <v>30000.0</v>
      </c>
      <c r="T342" s="1"/>
      <c r="U342" s="1"/>
      <c r="V342" s="1" t="s">
        <v>595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81"/>
      <c r="AN342" s="81"/>
      <c r="AO342" s="81"/>
      <c r="AP342" s="81"/>
      <c r="AQ342" s="81"/>
      <c r="AR342" s="81"/>
      <c r="AS342" s="81"/>
      <c r="AT342" s="81"/>
      <c r="AU342" s="81"/>
      <c r="AV342" s="81"/>
      <c r="AW342" s="81"/>
      <c r="AX342" s="81"/>
      <c r="AY342" s="81"/>
      <c r="AZ342" s="81"/>
      <c r="BA342" s="81"/>
      <c r="BB342" s="81"/>
    </row>
    <row r="343">
      <c r="A343" s="3"/>
      <c r="B343" s="3"/>
      <c r="C343" s="3"/>
      <c r="D343" s="105">
        <v>5.40688715E8</v>
      </c>
      <c r="E343" s="105"/>
      <c r="F343" s="1" t="s">
        <v>597</v>
      </c>
      <c r="G343" s="1" t="s">
        <v>115</v>
      </c>
      <c r="H343" s="1" t="s">
        <v>27</v>
      </c>
      <c r="I343" s="1" t="s">
        <v>598</v>
      </c>
      <c r="J343" s="1">
        <v>5000.0</v>
      </c>
      <c r="K343" s="3"/>
      <c r="L343" s="3">
        <f>265000+55000-J343</f>
        <v>315000</v>
      </c>
      <c r="M343" s="3"/>
      <c r="N343" s="70"/>
      <c r="O343" s="3"/>
      <c r="P343" s="3">
        <f t="shared" si="1"/>
        <v>136000</v>
      </c>
      <c r="Q343" s="25">
        <f t="shared" si="2"/>
        <v>179000</v>
      </c>
      <c r="R343" s="3"/>
      <c r="S343" s="3">
        <f>106000</f>
        <v>106000</v>
      </c>
      <c r="T343" s="1"/>
      <c r="U343" s="1"/>
      <c r="V343" s="1" t="s">
        <v>53</v>
      </c>
      <c r="W343" s="3"/>
      <c r="X343" s="1">
        <v>30000.0</v>
      </c>
      <c r="Y343" s="1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81"/>
      <c r="AN343" s="81"/>
      <c r="AO343" s="81"/>
      <c r="AP343" s="81"/>
      <c r="AQ343" s="81"/>
      <c r="AR343" s="81"/>
      <c r="AS343" s="81"/>
      <c r="AT343" s="81"/>
      <c r="AU343" s="81"/>
      <c r="AV343" s="81"/>
      <c r="AW343" s="81"/>
      <c r="AX343" s="81"/>
      <c r="AY343" s="81"/>
      <c r="AZ343" s="81"/>
      <c r="BA343" s="81"/>
      <c r="BB343" s="81"/>
    </row>
    <row r="344">
      <c r="A344" s="3"/>
      <c r="B344" s="3"/>
      <c r="C344" s="3"/>
      <c r="D344" s="105">
        <v>6.61483646E8</v>
      </c>
      <c r="E344" s="70"/>
      <c r="F344" s="1" t="s">
        <v>599</v>
      </c>
      <c r="G344" s="1" t="s">
        <v>144</v>
      </c>
      <c r="H344" s="1" t="s">
        <v>58</v>
      </c>
      <c r="I344" s="3"/>
      <c r="J344" s="3">
        <f>17000+20000</f>
        <v>37000</v>
      </c>
      <c r="K344" s="3"/>
      <c r="L344" s="3">
        <f>370000-J344</f>
        <v>333000</v>
      </c>
      <c r="M344" s="3"/>
      <c r="N344" s="105">
        <v>8000.0</v>
      </c>
      <c r="O344" s="3"/>
      <c r="P344" s="3">
        <f t="shared" si="1"/>
        <v>129000</v>
      </c>
      <c r="Q344" s="25">
        <f t="shared" si="2"/>
        <v>204000</v>
      </c>
      <c r="R344" s="3"/>
      <c r="S344" s="3">
        <f>136000+30000-J344</f>
        <v>129000</v>
      </c>
      <c r="T344" s="1"/>
      <c r="U344" s="1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81"/>
      <c r="AN344" s="81"/>
      <c r="AO344" s="81"/>
      <c r="AP344" s="81"/>
      <c r="AQ344" s="81"/>
      <c r="AR344" s="81"/>
      <c r="AS344" s="81"/>
      <c r="AT344" s="81"/>
      <c r="AU344" s="81"/>
      <c r="AV344" s="81"/>
      <c r="AW344" s="81"/>
      <c r="AX344" s="81"/>
      <c r="AY344" s="81"/>
      <c r="AZ344" s="81"/>
      <c r="BA344" s="81"/>
      <c r="BB344" s="81"/>
    </row>
    <row r="345">
      <c r="A345" s="3"/>
      <c r="B345" s="3"/>
      <c r="C345" s="3"/>
      <c r="D345" s="105" t="s">
        <v>600</v>
      </c>
      <c r="E345" s="70"/>
      <c r="F345" s="1" t="s">
        <v>601</v>
      </c>
      <c r="G345" s="1" t="s">
        <v>115</v>
      </c>
      <c r="H345" s="1" t="s">
        <v>17</v>
      </c>
      <c r="I345" s="3"/>
      <c r="J345" s="3"/>
      <c r="K345" s="3"/>
      <c r="L345" s="3">
        <f>245000-J345</f>
        <v>245000</v>
      </c>
      <c r="M345" s="3"/>
      <c r="N345" s="70"/>
      <c r="O345" s="3"/>
      <c r="P345" s="3">
        <f t="shared" si="1"/>
        <v>100000</v>
      </c>
      <c r="Q345" s="25">
        <f t="shared" si="2"/>
        <v>145000</v>
      </c>
      <c r="R345" s="3"/>
      <c r="S345" s="1">
        <v>100000.0</v>
      </c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</row>
    <row r="346">
      <c r="A346" s="3"/>
      <c r="B346" s="3"/>
      <c r="C346" s="3"/>
      <c r="D346" s="105">
        <v>6.59702099E8</v>
      </c>
      <c r="E346" s="70"/>
      <c r="F346" s="1" t="s">
        <v>602</v>
      </c>
      <c r="G346" s="1" t="s">
        <v>115</v>
      </c>
      <c r="H346" s="1" t="s">
        <v>41</v>
      </c>
      <c r="I346" s="3"/>
      <c r="J346" s="3"/>
      <c r="K346" s="3"/>
      <c r="L346" s="3">
        <f>285000-S34</f>
        <v>285000</v>
      </c>
      <c r="M346" s="3"/>
      <c r="N346" s="70"/>
      <c r="O346" s="3"/>
      <c r="P346" s="3">
        <f t="shared" si="1"/>
        <v>60000</v>
      </c>
      <c r="Q346" s="25">
        <f t="shared" si="2"/>
        <v>225000</v>
      </c>
      <c r="R346" s="3"/>
      <c r="S346" s="1">
        <v>60000.0</v>
      </c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81"/>
      <c r="AN346" s="81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</row>
    <row r="347">
      <c r="A347" s="3"/>
      <c r="B347" s="3"/>
      <c r="C347" s="3"/>
      <c r="D347" s="140"/>
      <c r="E347" s="70"/>
      <c r="F347" s="1" t="s">
        <v>603</v>
      </c>
      <c r="G347" s="1" t="s">
        <v>144</v>
      </c>
      <c r="H347" s="1" t="s">
        <v>56</v>
      </c>
      <c r="I347" s="1" t="s">
        <v>129</v>
      </c>
      <c r="J347" s="3"/>
      <c r="K347" s="3"/>
      <c r="L347" s="3">
        <f>355000+55000-J347</f>
        <v>410000</v>
      </c>
      <c r="M347" s="3"/>
      <c r="N347" s="105"/>
      <c r="O347" s="1"/>
      <c r="P347" s="3">
        <f t="shared" si="1"/>
        <v>200000</v>
      </c>
      <c r="Q347" s="25">
        <f t="shared" si="2"/>
        <v>210000</v>
      </c>
      <c r="R347" s="3"/>
      <c r="S347" s="1">
        <v>200000.0</v>
      </c>
      <c r="T347" s="1"/>
      <c r="U347" s="1"/>
      <c r="V347" s="1" t="s">
        <v>259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81"/>
      <c r="AN347" s="81"/>
      <c r="AO347" s="81"/>
      <c r="AP347" s="81"/>
      <c r="AQ347" s="81"/>
      <c r="AR347" s="81"/>
      <c r="AS347" s="81"/>
      <c r="AT347" s="81"/>
      <c r="AU347" s="81"/>
      <c r="AV347" s="81"/>
      <c r="AW347" s="81"/>
      <c r="AX347" s="81"/>
      <c r="AY347" s="81"/>
      <c r="AZ347" s="81"/>
      <c r="BA347" s="81"/>
      <c r="BB347" s="81"/>
    </row>
    <row r="348">
      <c r="A348" s="1"/>
      <c r="B348" s="3"/>
      <c r="C348" s="3"/>
      <c r="D348" s="105"/>
      <c r="E348" s="70"/>
      <c r="F348" s="1" t="s">
        <v>604</v>
      </c>
      <c r="G348" s="1" t="s">
        <v>144</v>
      </c>
      <c r="H348" s="1" t="s">
        <v>58</v>
      </c>
      <c r="I348" s="1" t="s">
        <v>129</v>
      </c>
      <c r="J348" s="1"/>
      <c r="K348" s="3"/>
      <c r="L348" s="3">
        <f>370000+55000-J348</f>
        <v>425000</v>
      </c>
      <c r="M348" s="3"/>
      <c r="N348" s="105"/>
      <c r="O348" s="3"/>
      <c r="P348" s="3">
        <f t="shared" si="1"/>
        <v>200000</v>
      </c>
      <c r="Q348" s="25">
        <f t="shared" si="2"/>
        <v>225000</v>
      </c>
      <c r="R348" s="1"/>
      <c r="S348" s="1">
        <v>200000.0</v>
      </c>
      <c r="T348" s="1"/>
      <c r="U348" s="1"/>
      <c r="V348" s="1" t="s">
        <v>259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81"/>
      <c r="AN348" s="81"/>
      <c r="AO348" s="81"/>
      <c r="AP348" s="81"/>
      <c r="AQ348" s="81"/>
      <c r="AR348" s="81"/>
      <c r="AS348" s="81"/>
      <c r="AT348" s="81"/>
      <c r="AU348" s="81"/>
      <c r="AV348" s="81"/>
      <c r="AW348" s="81"/>
      <c r="AX348" s="81"/>
      <c r="AY348" s="81"/>
      <c r="AZ348" s="81"/>
      <c r="BA348" s="81"/>
      <c r="BB348" s="81"/>
    </row>
    <row r="349">
      <c r="A349" s="3"/>
      <c r="B349" s="3"/>
      <c r="C349" s="3"/>
      <c r="D349" s="70"/>
      <c r="E349" s="70"/>
      <c r="F349" s="1" t="s">
        <v>605</v>
      </c>
      <c r="G349" s="1" t="s">
        <v>115</v>
      </c>
      <c r="H349" s="1" t="s">
        <v>27</v>
      </c>
      <c r="I349" s="1" t="s">
        <v>129</v>
      </c>
      <c r="J349" s="1"/>
      <c r="K349" s="3"/>
      <c r="L349" s="3">
        <f>265000+55000-J349</f>
        <v>320000</v>
      </c>
      <c r="M349" s="3"/>
      <c r="N349" s="70"/>
      <c r="O349" s="3"/>
      <c r="P349" s="3">
        <f t="shared" si="1"/>
        <v>200000</v>
      </c>
      <c r="Q349" s="25">
        <f t="shared" si="2"/>
        <v>120000</v>
      </c>
      <c r="R349" s="1"/>
      <c r="S349" s="1">
        <v>200000.0</v>
      </c>
      <c r="T349" s="1"/>
      <c r="U349" s="1"/>
      <c r="V349" s="1" t="s">
        <v>259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81"/>
      <c r="AN349" s="81"/>
      <c r="AO349" s="81"/>
      <c r="AP349" s="81"/>
      <c r="AQ349" s="81"/>
      <c r="AR349" s="81"/>
      <c r="AS349" s="81"/>
      <c r="AT349" s="81"/>
      <c r="AU349" s="81"/>
      <c r="AV349" s="81"/>
      <c r="AW349" s="81"/>
      <c r="AX349" s="81"/>
      <c r="AY349" s="81"/>
      <c r="AZ349" s="81"/>
      <c r="BA349" s="81"/>
      <c r="BB349" s="81"/>
    </row>
    <row r="350">
      <c r="A350" s="3"/>
      <c r="B350" s="3"/>
      <c r="C350" s="70"/>
      <c r="D350" s="105">
        <v>5.59503777E8</v>
      </c>
      <c r="E350" s="70"/>
      <c r="F350" s="105" t="s">
        <v>606</v>
      </c>
      <c r="G350" s="105" t="s">
        <v>171</v>
      </c>
      <c r="H350" s="105" t="s">
        <v>198</v>
      </c>
      <c r="I350" s="105" t="s">
        <v>129</v>
      </c>
      <c r="J350" s="3"/>
      <c r="K350" s="3"/>
      <c r="L350" s="3">
        <f>380000+52000-J350</f>
        <v>432000</v>
      </c>
      <c r="M350" s="3"/>
      <c r="N350" s="70"/>
      <c r="O350" s="3"/>
      <c r="P350" s="3">
        <f t="shared" si="1"/>
        <v>24000</v>
      </c>
      <c r="Q350" s="25">
        <f t="shared" si="2"/>
        <v>408000</v>
      </c>
      <c r="R350" s="3"/>
      <c r="S350" s="1">
        <v>24000.0</v>
      </c>
      <c r="T350" s="1"/>
      <c r="U350" s="1"/>
      <c r="V350" s="1" t="s">
        <v>29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81"/>
      <c r="AN350" s="81"/>
      <c r="AO350" s="81"/>
      <c r="AP350" s="81"/>
      <c r="AQ350" s="81"/>
      <c r="AR350" s="81"/>
      <c r="AS350" s="81"/>
      <c r="AT350" s="81"/>
      <c r="AU350" s="81"/>
      <c r="AV350" s="81"/>
      <c r="AW350" s="81"/>
      <c r="AX350" s="81"/>
      <c r="AY350" s="81"/>
      <c r="AZ350" s="81"/>
      <c r="BA350" s="81"/>
      <c r="BB350" s="81"/>
    </row>
    <row r="351">
      <c r="A351" s="3"/>
      <c r="B351" s="3"/>
      <c r="C351" s="70"/>
      <c r="D351" s="105">
        <v>5.50365096E8</v>
      </c>
      <c r="E351" s="70"/>
      <c r="F351" s="105" t="s">
        <v>607</v>
      </c>
      <c r="G351" s="105" t="s">
        <v>144</v>
      </c>
      <c r="H351" s="105" t="s">
        <v>56</v>
      </c>
      <c r="I351" s="70"/>
      <c r="J351" s="1">
        <f>13000+5000</f>
        <v>18000</v>
      </c>
      <c r="K351" s="3"/>
      <c r="L351" s="3">
        <f>355000-J351</f>
        <v>337000</v>
      </c>
      <c r="M351" s="3"/>
      <c r="N351" s="70"/>
      <c r="O351" s="3"/>
      <c r="P351" s="3">
        <f t="shared" si="1"/>
        <v>151000</v>
      </c>
      <c r="Q351" s="25">
        <f t="shared" si="2"/>
        <v>186000</v>
      </c>
      <c r="R351" s="1"/>
      <c r="S351" s="1">
        <f>132000+25000-J351</f>
        <v>139000</v>
      </c>
      <c r="T351" s="1">
        <v>12000.0</v>
      </c>
      <c r="U351" s="1"/>
      <c r="V351" s="3"/>
      <c r="W351" s="1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81"/>
      <c r="AN351" s="81"/>
      <c r="AO351" s="81"/>
      <c r="AP351" s="81"/>
      <c r="AQ351" s="81"/>
      <c r="AR351" s="81"/>
      <c r="AS351" s="81"/>
      <c r="AT351" s="81"/>
      <c r="AU351" s="81"/>
      <c r="AV351" s="81"/>
      <c r="AW351" s="81"/>
      <c r="AX351" s="81"/>
      <c r="AY351" s="81"/>
      <c r="AZ351" s="81"/>
      <c r="BA351" s="81"/>
      <c r="BB351" s="81"/>
    </row>
    <row r="352">
      <c r="A352" s="3"/>
      <c r="B352" s="3"/>
      <c r="C352" s="70"/>
      <c r="D352" s="105">
        <v>5.50365096E8</v>
      </c>
      <c r="E352" s="70"/>
      <c r="F352" s="105" t="s">
        <v>608</v>
      </c>
      <c r="G352" s="105" t="s">
        <v>115</v>
      </c>
      <c r="H352" s="105" t="s">
        <v>46</v>
      </c>
      <c r="I352" s="70"/>
      <c r="J352" s="3">
        <f>15000+5000</f>
        <v>20000</v>
      </c>
      <c r="K352" s="3"/>
      <c r="L352" s="3">
        <f>300000-J352</f>
        <v>280000</v>
      </c>
      <c r="M352" s="3"/>
      <c r="N352" s="70"/>
      <c r="O352" s="3"/>
      <c r="P352" s="3">
        <f t="shared" si="1"/>
        <v>100000</v>
      </c>
      <c r="Q352" s="25">
        <f t="shared" si="2"/>
        <v>180000</v>
      </c>
      <c r="R352" s="3"/>
      <c r="S352" s="3">
        <f>120000-J352</f>
        <v>100000</v>
      </c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81"/>
      <c r="AN352" s="81"/>
      <c r="AO352" s="81"/>
      <c r="AP352" s="81"/>
      <c r="AQ352" s="81"/>
      <c r="AR352" s="81"/>
      <c r="AS352" s="81"/>
      <c r="AT352" s="81"/>
      <c r="AU352" s="81"/>
      <c r="AV352" s="81"/>
      <c r="AW352" s="81"/>
      <c r="AX352" s="81"/>
      <c r="AY352" s="81"/>
      <c r="AZ352" s="81"/>
      <c r="BA352" s="81"/>
      <c r="BB352" s="81"/>
    </row>
    <row r="353">
      <c r="A353" s="3"/>
      <c r="B353" s="3"/>
      <c r="C353" s="70"/>
      <c r="D353" s="105">
        <v>5.53877525E8</v>
      </c>
      <c r="E353" s="105" t="s">
        <v>166</v>
      </c>
      <c r="F353" s="105" t="s">
        <v>609</v>
      </c>
      <c r="G353" s="105" t="s">
        <v>115</v>
      </c>
      <c r="H353" s="105" t="s">
        <v>27</v>
      </c>
      <c r="I353" s="70"/>
      <c r="J353" s="1">
        <v>26500.0</v>
      </c>
      <c r="K353" s="3"/>
      <c r="L353" s="3">
        <f>265000-J353</f>
        <v>238500</v>
      </c>
      <c r="M353" s="3"/>
      <c r="N353" s="70"/>
      <c r="O353" s="3"/>
      <c r="P353" s="3">
        <f t="shared" si="1"/>
        <v>238500</v>
      </c>
      <c r="Q353" s="25">
        <f t="shared" si="2"/>
        <v>0</v>
      </c>
      <c r="R353" s="3"/>
      <c r="S353" s="1">
        <v>79500.0</v>
      </c>
      <c r="T353" s="1">
        <v>79500.0</v>
      </c>
      <c r="U353" s="1">
        <v>79500.0</v>
      </c>
      <c r="V353" s="3"/>
      <c r="W353" s="3"/>
      <c r="X353" s="1"/>
      <c r="Y353" s="1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81"/>
      <c r="AN353" s="81"/>
      <c r="AO353" s="81"/>
      <c r="AP353" s="81"/>
      <c r="AQ353" s="81"/>
      <c r="AR353" s="81"/>
      <c r="AS353" s="81"/>
      <c r="AT353" s="81"/>
      <c r="AU353" s="81"/>
      <c r="AV353" s="81"/>
      <c r="AW353" s="81"/>
      <c r="AX353" s="81"/>
      <c r="AY353" s="81"/>
      <c r="AZ353" s="81"/>
      <c r="BA353" s="81"/>
      <c r="BB353" s="81"/>
    </row>
    <row r="354">
      <c r="A354" s="3"/>
      <c r="B354" s="3"/>
      <c r="C354" s="70"/>
      <c r="D354" s="105">
        <v>7.81820923E8</v>
      </c>
      <c r="E354" s="70"/>
      <c r="F354" s="105" t="s">
        <v>610</v>
      </c>
      <c r="G354" s="105" t="s">
        <v>171</v>
      </c>
      <c r="H354" s="105" t="s">
        <v>198</v>
      </c>
      <c r="I354" s="70"/>
      <c r="J354" s="3"/>
      <c r="K354" s="3"/>
      <c r="L354" s="3">
        <f>380000-J354</f>
        <v>380000</v>
      </c>
      <c r="M354" s="3"/>
      <c r="N354" s="70"/>
      <c r="O354" s="3"/>
      <c r="P354" s="3">
        <f t="shared" si="1"/>
        <v>50000</v>
      </c>
      <c r="Q354" s="25">
        <f t="shared" si="2"/>
        <v>330000</v>
      </c>
      <c r="R354" s="3"/>
      <c r="S354" s="1">
        <v>50000.0</v>
      </c>
      <c r="T354" s="3"/>
      <c r="U354" s="1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81"/>
      <c r="AN354" s="81"/>
      <c r="AO354" s="81"/>
      <c r="AP354" s="81"/>
      <c r="AQ354" s="81"/>
      <c r="AR354" s="81"/>
      <c r="AS354" s="81"/>
      <c r="AT354" s="81"/>
      <c r="AU354" s="81"/>
      <c r="AV354" s="81"/>
      <c r="AW354" s="81"/>
      <c r="AX354" s="81"/>
      <c r="AY354" s="81"/>
      <c r="AZ354" s="81"/>
      <c r="BA354" s="81"/>
      <c r="BB354" s="81"/>
    </row>
    <row r="355">
      <c r="A355" s="1"/>
      <c r="B355" s="1"/>
      <c r="C355" s="70"/>
      <c r="D355" s="105" t="s">
        <v>611</v>
      </c>
      <c r="E355" s="70"/>
      <c r="F355" s="105" t="s">
        <v>612</v>
      </c>
      <c r="G355" s="105" t="s">
        <v>216</v>
      </c>
      <c r="H355" s="70"/>
      <c r="I355" s="105" t="s">
        <v>129</v>
      </c>
      <c r="J355" s="1">
        <v>5000.0</v>
      </c>
      <c r="K355" s="3"/>
      <c r="L355" s="3">
        <f>23000+250000+55000-J355+40000</f>
        <v>363000</v>
      </c>
      <c r="M355" s="3"/>
      <c r="N355" s="70"/>
      <c r="O355" s="3"/>
      <c r="P355" s="3">
        <f t="shared" si="1"/>
        <v>50000</v>
      </c>
      <c r="Q355" s="25">
        <f t="shared" si="2"/>
        <v>313000</v>
      </c>
      <c r="R355" s="1"/>
      <c r="S355" s="1">
        <v>50000.0</v>
      </c>
      <c r="T355" s="3"/>
      <c r="U355" s="3"/>
      <c r="V355" s="1" t="s">
        <v>201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81"/>
      <c r="AN355" s="81"/>
      <c r="AO355" s="81"/>
      <c r="AP355" s="81"/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</row>
    <row r="356">
      <c r="A356" s="3"/>
      <c r="B356" s="3"/>
      <c r="C356" s="70"/>
      <c r="D356" s="105" t="s">
        <v>611</v>
      </c>
      <c r="E356" s="70"/>
      <c r="F356" s="105" t="s">
        <v>613</v>
      </c>
      <c r="G356" s="105" t="s">
        <v>144</v>
      </c>
      <c r="H356" s="105" t="s">
        <v>49</v>
      </c>
      <c r="I356" s="105" t="s">
        <v>129</v>
      </c>
      <c r="J356" s="3">
        <f>15000</f>
        <v>15000</v>
      </c>
      <c r="K356" s="3"/>
      <c r="L356" s="3">
        <f>25000+305000+55000-J356</f>
        <v>370000</v>
      </c>
      <c r="M356" s="3"/>
      <c r="N356" s="70"/>
      <c r="O356" s="3"/>
      <c r="P356" s="3">
        <f t="shared" si="1"/>
        <v>0</v>
      </c>
      <c r="Q356" s="25">
        <f t="shared" si="2"/>
        <v>370000</v>
      </c>
      <c r="R356" s="3"/>
      <c r="S356" s="1"/>
      <c r="T356" s="1"/>
      <c r="U356" s="1"/>
      <c r="V356" s="1" t="s">
        <v>201</v>
      </c>
      <c r="W356" s="3"/>
      <c r="X356" s="1"/>
      <c r="Y356" s="1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81"/>
      <c r="AN356" s="81"/>
      <c r="AO356" s="81"/>
      <c r="AP356" s="81"/>
      <c r="AQ356" s="81"/>
      <c r="AR356" s="81"/>
      <c r="AS356" s="81"/>
      <c r="AT356" s="81"/>
      <c r="AU356" s="81"/>
      <c r="AV356" s="81"/>
      <c r="AW356" s="81"/>
      <c r="AX356" s="81"/>
      <c r="AY356" s="81"/>
      <c r="AZ356" s="81"/>
      <c r="BA356" s="81"/>
      <c r="BB356" s="81"/>
    </row>
    <row r="357">
      <c r="A357" s="3"/>
      <c r="B357" s="3"/>
      <c r="C357" s="70"/>
      <c r="D357" s="122">
        <v>6.61650159E8</v>
      </c>
      <c r="E357" s="70"/>
      <c r="F357" s="105" t="s">
        <v>614</v>
      </c>
      <c r="G357" s="105" t="s">
        <v>144</v>
      </c>
      <c r="H357" s="105" t="s">
        <v>56</v>
      </c>
      <c r="I357" s="70"/>
      <c r="J357" s="1"/>
      <c r="K357" s="3"/>
      <c r="L357" s="3">
        <f>25000+320000-J357</f>
        <v>345000</v>
      </c>
      <c r="M357" s="3"/>
      <c r="N357" s="70"/>
      <c r="O357" s="3"/>
      <c r="P357" s="3">
        <f t="shared" si="1"/>
        <v>50000</v>
      </c>
      <c r="Q357" s="25">
        <f t="shared" si="2"/>
        <v>295000</v>
      </c>
      <c r="R357" s="3"/>
      <c r="S357" s="1">
        <v>50000.0</v>
      </c>
      <c r="T357" s="1"/>
      <c r="U357" s="1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81"/>
      <c r="AN357" s="81"/>
      <c r="AO357" s="81"/>
      <c r="AP357" s="81"/>
      <c r="AQ357" s="81"/>
      <c r="AR357" s="81"/>
      <c r="AS357" s="81"/>
      <c r="AT357" s="81"/>
      <c r="AU357" s="81"/>
      <c r="AV357" s="81"/>
      <c r="AW357" s="81"/>
      <c r="AX357" s="81"/>
      <c r="AY357" s="81"/>
      <c r="AZ357" s="81"/>
      <c r="BA357" s="81"/>
      <c r="BB357" s="81"/>
    </row>
    <row r="358">
      <c r="A358" s="3"/>
      <c r="B358" s="3"/>
      <c r="C358" s="70"/>
      <c r="D358" s="122">
        <v>6.61650159E8</v>
      </c>
      <c r="E358" s="70"/>
      <c r="F358" s="105" t="s">
        <v>615</v>
      </c>
      <c r="G358" s="105" t="s">
        <v>144</v>
      </c>
      <c r="H358" s="105" t="s">
        <v>49</v>
      </c>
      <c r="I358" s="70"/>
      <c r="J358" s="1"/>
      <c r="K358" s="3"/>
      <c r="L358" s="3">
        <f>25000+330000-S356</f>
        <v>355000</v>
      </c>
      <c r="M358" s="3"/>
      <c r="N358" s="70"/>
      <c r="O358" s="3"/>
      <c r="P358" s="3">
        <f t="shared" si="1"/>
        <v>50000</v>
      </c>
      <c r="Q358" s="25">
        <f t="shared" si="2"/>
        <v>305000</v>
      </c>
      <c r="R358" s="1"/>
      <c r="S358" s="1">
        <v>50000.0</v>
      </c>
      <c r="T358" s="1"/>
      <c r="U358" s="1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81"/>
      <c r="AN358" s="81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</row>
    <row r="359">
      <c r="A359" s="3"/>
      <c r="B359" s="1"/>
      <c r="C359" s="70"/>
      <c r="D359" s="113">
        <v>7.70419912E8</v>
      </c>
      <c r="E359" s="105"/>
      <c r="F359" s="105" t="s">
        <v>616</v>
      </c>
      <c r="G359" s="105" t="s">
        <v>115</v>
      </c>
      <c r="H359" s="105" t="s">
        <v>46</v>
      </c>
      <c r="I359" s="105" t="s">
        <v>129</v>
      </c>
      <c r="J359" s="1">
        <f>15000+5000+30000+15000</f>
        <v>65000</v>
      </c>
      <c r="K359" s="3"/>
      <c r="L359" s="3">
        <f>300000-J359+40000</f>
        <v>275000</v>
      </c>
      <c r="M359" s="3"/>
      <c r="N359" s="70"/>
      <c r="O359" s="3"/>
      <c r="P359" s="3">
        <f t="shared" si="1"/>
        <v>220000</v>
      </c>
      <c r="Q359" s="25">
        <f t="shared" si="2"/>
        <v>55000</v>
      </c>
      <c r="R359" s="3"/>
      <c r="S359" s="1"/>
      <c r="T359" s="1">
        <v>90000.0</v>
      </c>
      <c r="U359" s="1">
        <v>90000.0</v>
      </c>
      <c r="V359" s="1" t="s">
        <v>617</v>
      </c>
      <c r="W359" s="1">
        <v>20000.0</v>
      </c>
      <c r="X359" s="1">
        <v>10000.0</v>
      </c>
      <c r="Y359" s="1">
        <v>10000.0</v>
      </c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81"/>
      <c r="AN359" s="81"/>
      <c r="AO359" s="81"/>
      <c r="AP359" s="81"/>
      <c r="AQ359" s="81"/>
      <c r="AR359" s="81"/>
      <c r="AS359" s="81"/>
      <c r="AT359" s="81"/>
      <c r="AU359" s="81"/>
      <c r="AV359" s="81"/>
      <c r="AW359" s="81"/>
      <c r="AX359" s="81"/>
      <c r="AY359" s="81"/>
      <c r="AZ359" s="81"/>
      <c r="BA359" s="81"/>
      <c r="BB359" s="81"/>
    </row>
    <row r="360">
      <c r="A360" s="3"/>
      <c r="B360" s="3"/>
      <c r="C360" s="70"/>
      <c r="D360" s="122">
        <v>7.70419912E8</v>
      </c>
      <c r="E360" s="70"/>
      <c r="F360" s="105" t="s">
        <v>618</v>
      </c>
      <c r="G360" s="105" t="s">
        <v>171</v>
      </c>
      <c r="H360" s="105" t="s">
        <v>226</v>
      </c>
      <c r="I360" s="105" t="s">
        <v>129</v>
      </c>
      <c r="J360" s="1">
        <f>10000+15000+5000+35000</f>
        <v>65000</v>
      </c>
      <c r="K360" s="3"/>
      <c r="L360" s="3">
        <f>25000+350000-J360+40000</f>
        <v>350000</v>
      </c>
      <c r="M360" s="3"/>
      <c r="N360" s="70"/>
      <c r="O360" s="3"/>
      <c r="P360" s="3">
        <f t="shared" si="1"/>
        <v>250000</v>
      </c>
      <c r="Q360" s="25">
        <f t="shared" si="2"/>
        <v>100000</v>
      </c>
      <c r="R360" s="1"/>
      <c r="S360" s="1"/>
      <c r="T360" s="1">
        <v>105000.0</v>
      </c>
      <c r="U360" s="1">
        <v>105000.0</v>
      </c>
      <c r="V360" s="1" t="s">
        <v>617</v>
      </c>
      <c r="W360" s="1">
        <v>20000.0</v>
      </c>
      <c r="X360" s="1">
        <v>10000.0</v>
      </c>
      <c r="Y360" s="1">
        <v>10000.0</v>
      </c>
      <c r="Z360" s="3"/>
      <c r="AA360" s="3"/>
      <c r="AB360" s="3"/>
      <c r="AC360" s="3"/>
      <c r="AD360" s="1"/>
      <c r="AE360" s="3"/>
      <c r="AF360" s="3"/>
      <c r="AG360" s="3"/>
      <c r="AH360" s="3"/>
      <c r="AI360" s="3"/>
      <c r="AJ360" s="3"/>
      <c r="AK360" s="3"/>
      <c r="AL360" s="3"/>
      <c r="AM360" s="81"/>
      <c r="AN360" s="81"/>
      <c r="AO360" s="81"/>
      <c r="AP360" s="81"/>
      <c r="AQ360" s="81"/>
      <c r="AR360" s="81"/>
      <c r="AS360" s="81"/>
      <c r="AT360" s="81"/>
      <c r="AU360" s="81"/>
      <c r="AV360" s="81"/>
      <c r="AW360" s="81"/>
      <c r="AX360" s="81"/>
      <c r="AY360" s="81"/>
      <c r="AZ360" s="81"/>
      <c r="BA360" s="81"/>
      <c r="BB360" s="81"/>
    </row>
    <row r="361">
      <c r="A361" s="3"/>
      <c r="B361" s="3"/>
      <c r="C361" s="70"/>
      <c r="D361" s="113">
        <v>7.90987447E8</v>
      </c>
      <c r="E361" s="70"/>
      <c r="F361" s="105" t="s">
        <v>619</v>
      </c>
      <c r="G361" s="105" t="s">
        <v>115</v>
      </c>
      <c r="H361" s="105" t="s">
        <v>46</v>
      </c>
      <c r="I361" s="105" t="s">
        <v>129</v>
      </c>
      <c r="J361" s="1">
        <f>15000+30000</f>
        <v>45000</v>
      </c>
      <c r="K361" s="3"/>
      <c r="L361" s="3">
        <f>300000+43000-J361</f>
        <v>298000</v>
      </c>
      <c r="M361" s="3"/>
      <c r="N361" s="70"/>
      <c r="O361" s="3"/>
      <c r="P361" s="3">
        <f t="shared" si="1"/>
        <v>255000</v>
      </c>
      <c r="Q361" s="25">
        <f t="shared" si="2"/>
        <v>43000</v>
      </c>
      <c r="R361" s="1"/>
      <c r="S361" s="1">
        <v>255000.0</v>
      </c>
      <c r="T361" s="1"/>
      <c r="U361" s="1"/>
      <c r="V361" s="1" t="s">
        <v>14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107"/>
      <c r="AN361" s="81"/>
      <c r="AO361" s="81"/>
      <c r="AP361" s="81"/>
      <c r="AQ361" s="81"/>
      <c r="AR361" s="81"/>
      <c r="AS361" s="81"/>
      <c r="AT361" s="81"/>
      <c r="AU361" s="81"/>
      <c r="AV361" s="81"/>
      <c r="AW361" s="81"/>
      <c r="AX361" s="81"/>
      <c r="AY361" s="81"/>
      <c r="AZ361" s="81"/>
      <c r="BA361" s="81"/>
      <c r="BB361" s="81"/>
    </row>
    <row r="362">
      <c r="A362" s="3"/>
      <c r="B362" s="3"/>
      <c r="C362" s="70"/>
      <c r="D362" s="105">
        <v>7.72214747E8</v>
      </c>
      <c r="E362" s="70"/>
      <c r="F362" s="105" t="s">
        <v>620</v>
      </c>
      <c r="G362" s="105" t="s">
        <v>144</v>
      </c>
      <c r="H362" s="105" t="s">
        <v>52</v>
      </c>
      <c r="I362" s="70"/>
      <c r="J362" s="1"/>
      <c r="K362" s="3"/>
      <c r="L362" s="3">
        <f>355000-J362</f>
        <v>355000</v>
      </c>
      <c r="M362" s="3"/>
      <c r="N362" s="70"/>
      <c r="O362" s="3"/>
      <c r="P362" s="3">
        <f t="shared" si="1"/>
        <v>25000</v>
      </c>
      <c r="Q362" s="25">
        <f t="shared" si="2"/>
        <v>330000</v>
      </c>
      <c r="R362" s="1"/>
      <c r="S362" s="1">
        <v>25000.0</v>
      </c>
      <c r="T362" s="1"/>
      <c r="U362" s="1"/>
      <c r="V362" s="3"/>
      <c r="W362" s="1"/>
      <c r="X362" s="1"/>
      <c r="Y362" s="1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81"/>
      <c r="AN362" s="81"/>
      <c r="AO362" s="81"/>
      <c r="AP362" s="81"/>
      <c r="AQ362" s="81"/>
      <c r="AR362" s="81"/>
      <c r="AS362" s="81"/>
      <c r="AT362" s="81"/>
      <c r="AU362" s="81"/>
      <c r="AV362" s="81"/>
      <c r="AW362" s="81"/>
      <c r="AX362" s="81"/>
      <c r="AY362" s="81"/>
      <c r="AZ362" s="81"/>
      <c r="BA362" s="81"/>
      <c r="BB362" s="81"/>
    </row>
    <row r="363">
      <c r="A363" s="3"/>
      <c r="B363" s="3"/>
      <c r="C363" s="70"/>
      <c r="D363" s="105" t="s">
        <v>621</v>
      </c>
      <c r="E363" s="105" t="s">
        <v>166</v>
      </c>
      <c r="F363" s="105" t="s">
        <v>622</v>
      </c>
      <c r="G363" s="105" t="s">
        <v>144</v>
      </c>
      <c r="H363" s="105" t="s">
        <v>49</v>
      </c>
      <c r="I363" s="70"/>
      <c r="J363" s="1">
        <v>35000.0</v>
      </c>
      <c r="K363" s="3"/>
      <c r="L363" s="3">
        <f>305000+25000-J363</f>
        <v>295000</v>
      </c>
      <c r="M363" s="3"/>
      <c r="N363" s="70"/>
      <c r="O363" s="3"/>
      <c r="P363" s="3">
        <f t="shared" si="1"/>
        <v>295000</v>
      </c>
      <c r="Q363" s="25">
        <f t="shared" si="2"/>
        <v>0</v>
      </c>
      <c r="R363" s="1"/>
      <c r="S363" s="1">
        <v>295000.0</v>
      </c>
      <c r="T363" s="1"/>
      <c r="U363" s="1"/>
      <c r="V363" s="3"/>
      <c r="W363" s="1"/>
      <c r="X363" s="1"/>
      <c r="Y363" s="1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81"/>
      <c r="AN363" s="81"/>
      <c r="AO363" s="81"/>
      <c r="AP363" s="81"/>
      <c r="AQ363" s="81"/>
      <c r="AR363" s="81"/>
      <c r="AS363" s="81"/>
      <c r="AT363" s="81"/>
      <c r="AU363" s="81"/>
      <c r="AV363" s="81"/>
      <c r="AW363" s="81"/>
      <c r="AX363" s="81"/>
      <c r="AY363" s="81"/>
      <c r="AZ363" s="81"/>
      <c r="BA363" s="81"/>
      <c r="BB363" s="81"/>
    </row>
    <row r="364">
      <c r="A364" s="3"/>
      <c r="B364" s="3"/>
      <c r="C364" s="70"/>
      <c r="D364" s="105" t="s">
        <v>623</v>
      </c>
      <c r="E364" s="105" t="s">
        <v>166</v>
      </c>
      <c r="F364" s="105" t="s">
        <v>624</v>
      </c>
      <c r="G364" s="105" t="s">
        <v>115</v>
      </c>
      <c r="H364" s="105" t="s">
        <v>41</v>
      </c>
      <c r="I364" s="70"/>
      <c r="J364" s="1">
        <v>36000.0</v>
      </c>
      <c r="K364" s="3"/>
      <c r="L364" s="3">
        <f>285000-J364</f>
        <v>249000</v>
      </c>
      <c r="M364" s="3"/>
      <c r="N364" s="70"/>
      <c r="O364" s="1"/>
      <c r="P364" s="3">
        <f t="shared" si="1"/>
        <v>249000</v>
      </c>
      <c r="Q364" s="25">
        <f t="shared" si="2"/>
        <v>0</v>
      </c>
      <c r="R364" s="3"/>
      <c r="S364" s="1">
        <v>249000.0</v>
      </c>
      <c r="T364" s="1"/>
      <c r="U364" s="1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81"/>
      <c r="AN364" s="81"/>
      <c r="AO364" s="81"/>
      <c r="AP364" s="81"/>
      <c r="AQ364" s="81"/>
      <c r="AR364" s="81"/>
      <c r="AS364" s="81"/>
      <c r="AT364" s="81"/>
      <c r="AU364" s="81"/>
      <c r="AV364" s="81"/>
      <c r="AW364" s="81"/>
      <c r="AX364" s="81"/>
      <c r="AY364" s="81"/>
      <c r="AZ364" s="81"/>
      <c r="BA364" s="81"/>
      <c r="BB364" s="81"/>
    </row>
    <row r="365">
      <c r="A365" s="1"/>
      <c r="B365" s="3"/>
      <c r="C365" s="70"/>
      <c r="D365" s="105" t="s">
        <v>625</v>
      </c>
      <c r="E365" s="105" t="s">
        <v>166</v>
      </c>
      <c r="F365" s="105" t="s">
        <v>626</v>
      </c>
      <c r="G365" s="105" t="s">
        <v>115</v>
      </c>
      <c r="H365" s="105" t="s">
        <v>17</v>
      </c>
      <c r="I365" s="105" t="s">
        <v>129</v>
      </c>
      <c r="J365" s="1"/>
      <c r="K365" s="3"/>
      <c r="L365" s="3">
        <f t="shared" ref="L365:L366" si="23">245000+43000-J365</f>
        <v>288000</v>
      </c>
      <c r="M365" s="1"/>
      <c r="N365" s="70"/>
      <c r="O365" s="3"/>
      <c r="P365" s="3">
        <f t="shared" si="1"/>
        <v>118000</v>
      </c>
      <c r="Q365" s="25">
        <f t="shared" si="2"/>
        <v>170000</v>
      </c>
      <c r="R365" s="1"/>
      <c r="S365" s="1">
        <v>98000.0</v>
      </c>
      <c r="T365" s="1"/>
      <c r="U365" s="1"/>
      <c r="V365" s="1" t="s">
        <v>10</v>
      </c>
      <c r="W365" s="1">
        <v>20000.0</v>
      </c>
      <c r="X365" s="1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81"/>
      <c r="AN365" s="81"/>
      <c r="AO365" s="81"/>
      <c r="AP365" s="81"/>
      <c r="AQ365" s="81"/>
      <c r="AR365" s="81"/>
      <c r="AS365" s="81"/>
      <c r="AT365" s="81"/>
      <c r="AU365" s="81"/>
      <c r="AV365" s="81"/>
      <c r="AW365" s="81"/>
      <c r="AX365" s="81"/>
      <c r="AY365" s="81"/>
      <c r="AZ365" s="81"/>
      <c r="BA365" s="81"/>
      <c r="BB365" s="81"/>
    </row>
    <row r="366">
      <c r="A366" s="1"/>
      <c r="B366" s="3"/>
      <c r="C366" s="70"/>
      <c r="D366" s="105">
        <v>6.70149788E8</v>
      </c>
      <c r="E366" s="70"/>
      <c r="F366" s="105" t="s">
        <v>627</v>
      </c>
      <c r="G366" s="105" t="s">
        <v>115</v>
      </c>
      <c r="H366" s="105" t="s">
        <v>17</v>
      </c>
      <c r="I366" s="105" t="s">
        <v>129</v>
      </c>
      <c r="J366" s="1"/>
      <c r="K366" s="3"/>
      <c r="L366" s="3">
        <f t="shared" si="23"/>
        <v>288000</v>
      </c>
      <c r="M366" s="3"/>
      <c r="N366" s="70"/>
      <c r="O366" s="3"/>
      <c r="P366" s="3">
        <f t="shared" si="1"/>
        <v>25000</v>
      </c>
      <c r="Q366" s="25">
        <f t="shared" si="2"/>
        <v>263000</v>
      </c>
      <c r="R366" s="1"/>
      <c r="S366" s="1">
        <v>25000.0</v>
      </c>
      <c r="T366" s="1"/>
      <c r="U366" s="1"/>
      <c r="V366" s="1" t="s">
        <v>10</v>
      </c>
      <c r="W366" s="1"/>
      <c r="X366" s="1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81"/>
      <c r="AN366" s="81"/>
      <c r="AO366" s="81"/>
      <c r="AP366" s="81"/>
      <c r="AQ366" s="81"/>
      <c r="AR366" s="81"/>
      <c r="AS366" s="81"/>
      <c r="AT366" s="81"/>
      <c r="AU366" s="81"/>
      <c r="AV366" s="81"/>
      <c r="AW366" s="81"/>
      <c r="AX366" s="81"/>
      <c r="AY366" s="81"/>
      <c r="AZ366" s="81"/>
      <c r="BA366" s="81"/>
      <c r="BB366" s="81"/>
    </row>
    <row r="367">
      <c r="A367" s="3"/>
      <c r="B367" s="3"/>
      <c r="C367" s="70"/>
      <c r="D367" s="105">
        <v>6.61650777E8</v>
      </c>
      <c r="E367" s="70"/>
      <c r="F367" s="105" t="s">
        <v>628</v>
      </c>
      <c r="G367" s="105" t="s">
        <v>144</v>
      </c>
      <c r="H367" s="105" t="s">
        <v>52</v>
      </c>
      <c r="I367" s="105" t="s">
        <v>129</v>
      </c>
      <c r="J367" s="1"/>
      <c r="K367" s="3"/>
      <c r="L367" s="3">
        <f>345000+43000-J367</f>
        <v>388000</v>
      </c>
      <c r="M367" s="3"/>
      <c r="N367" s="70"/>
      <c r="O367" s="3"/>
      <c r="P367" s="3">
        <f t="shared" si="1"/>
        <v>30000</v>
      </c>
      <c r="Q367" s="25">
        <f t="shared" si="2"/>
        <v>358000</v>
      </c>
      <c r="R367" s="3"/>
      <c r="S367" s="1">
        <v>30000.0</v>
      </c>
      <c r="T367" s="1"/>
      <c r="U367" s="1"/>
      <c r="V367" s="1" t="s">
        <v>10</v>
      </c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81"/>
      <c r="AN367" s="81"/>
      <c r="AO367" s="81"/>
      <c r="AP367" s="81"/>
      <c r="AQ367" s="81"/>
      <c r="AR367" s="81"/>
      <c r="AS367" s="81"/>
      <c r="AT367" s="81"/>
      <c r="AU367" s="81"/>
      <c r="AV367" s="81"/>
      <c r="AW367" s="81"/>
      <c r="AX367" s="81"/>
      <c r="AY367" s="81"/>
      <c r="AZ367" s="81"/>
      <c r="BA367" s="81"/>
      <c r="BB367" s="81"/>
    </row>
    <row r="368">
      <c r="A368" s="3"/>
      <c r="B368" s="3"/>
      <c r="C368" s="70"/>
      <c r="D368" s="105">
        <v>5.40688715E8</v>
      </c>
      <c r="E368" s="105" t="s">
        <v>166</v>
      </c>
      <c r="F368" s="105" t="s">
        <v>629</v>
      </c>
      <c r="G368" s="105" t="s">
        <v>171</v>
      </c>
      <c r="H368" s="105" t="s">
        <v>226</v>
      </c>
      <c r="I368" s="105" t="s">
        <v>129</v>
      </c>
      <c r="J368" s="1">
        <f>43000+5000</f>
        <v>48000</v>
      </c>
      <c r="K368" s="3"/>
      <c r="L368" s="3">
        <f>55000+25000+350000-J368</f>
        <v>382000</v>
      </c>
      <c r="M368" s="1"/>
      <c r="N368" s="70"/>
      <c r="O368" s="3"/>
      <c r="P368" s="3">
        <f t="shared" si="1"/>
        <v>382000</v>
      </c>
      <c r="Q368" s="25">
        <f t="shared" si="2"/>
        <v>0</v>
      </c>
      <c r="R368" s="3"/>
      <c r="S368" s="1">
        <v>126000.0</v>
      </c>
      <c r="T368" s="1">
        <v>100500.0</v>
      </c>
      <c r="U368" s="1">
        <v>100500.0</v>
      </c>
      <c r="V368" s="1" t="s">
        <v>259</v>
      </c>
      <c r="W368" s="1">
        <v>30000.0</v>
      </c>
      <c r="X368" s="1">
        <v>15000.0</v>
      </c>
      <c r="Y368" s="1">
        <v>10000.0</v>
      </c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81"/>
      <c r="AN368" s="81"/>
      <c r="AO368" s="81"/>
      <c r="AP368" s="81"/>
      <c r="AQ368" s="81"/>
      <c r="AR368" s="81"/>
      <c r="AS368" s="81"/>
      <c r="AT368" s="81"/>
      <c r="AU368" s="81"/>
      <c r="AV368" s="81"/>
      <c r="AW368" s="81"/>
      <c r="AX368" s="81"/>
      <c r="AY368" s="81"/>
      <c r="AZ368" s="81"/>
      <c r="BA368" s="81"/>
      <c r="BB368" s="81"/>
    </row>
    <row r="369">
      <c r="A369" s="3"/>
      <c r="B369" s="3"/>
      <c r="C369" s="70"/>
      <c r="D369" s="105">
        <v>5.40688715E8</v>
      </c>
      <c r="E369" s="105" t="s">
        <v>166</v>
      </c>
      <c r="F369" s="105" t="s">
        <v>630</v>
      </c>
      <c r="G369" s="105" t="s">
        <v>144</v>
      </c>
      <c r="H369" s="105" t="s">
        <v>52</v>
      </c>
      <c r="I369" s="105" t="s">
        <v>129</v>
      </c>
      <c r="J369" s="1">
        <f>40000+5000</f>
        <v>45000</v>
      </c>
      <c r="K369" s="3"/>
      <c r="L369" s="3">
        <f>25000+55000+320000-J369</f>
        <v>355000</v>
      </c>
      <c r="M369" s="3"/>
      <c r="N369" s="70"/>
      <c r="O369" s="3"/>
      <c r="P369" s="3">
        <f t="shared" si="1"/>
        <v>355000</v>
      </c>
      <c r="Q369" s="25">
        <f t="shared" si="2"/>
        <v>0</v>
      </c>
      <c r="R369" s="3"/>
      <c r="S369" s="1">
        <v>108000.0</v>
      </c>
      <c r="T369" s="1">
        <v>96000.0</v>
      </c>
      <c r="U369" s="1">
        <v>96000.0</v>
      </c>
      <c r="V369" s="1" t="s">
        <v>259</v>
      </c>
      <c r="W369" s="1">
        <v>30000.0</v>
      </c>
      <c r="X369" s="1">
        <v>15000.0</v>
      </c>
      <c r="Y369" s="1">
        <v>10000.0</v>
      </c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81"/>
      <c r="AN369" s="81"/>
      <c r="AO369" s="81"/>
      <c r="AP369" s="81"/>
      <c r="AQ369" s="81"/>
      <c r="AR369" s="81"/>
      <c r="AS369" s="81"/>
      <c r="AT369" s="81"/>
      <c r="AU369" s="81"/>
      <c r="AV369" s="81"/>
      <c r="AW369" s="81"/>
      <c r="AX369" s="81"/>
      <c r="AY369" s="81"/>
      <c r="AZ369" s="81"/>
      <c r="BA369" s="81"/>
      <c r="BB369" s="81"/>
    </row>
    <row r="370">
      <c r="A370" s="3"/>
      <c r="B370" s="3"/>
      <c r="C370" s="70"/>
      <c r="D370" s="122">
        <v>5.55350405E8</v>
      </c>
      <c r="E370" s="105" t="s">
        <v>166</v>
      </c>
      <c r="F370" s="105" t="s">
        <v>631</v>
      </c>
      <c r="G370" s="105" t="s">
        <v>115</v>
      </c>
      <c r="H370" s="105" t="s">
        <v>17</v>
      </c>
      <c r="I370" s="105" t="s">
        <v>129</v>
      </c>
      <c r="J370" s="3"/>
      <c r="K370" s="3"/>
      <c r="L370" s="3">
        <f>245000+40000-J370</f>
        <v>285000</v>
      </c>
      <c r="M370" s="3"/>
      <c r="N370" s="70"/>
      <c r="O370" s="3"/>
      <c r="P370" s="3">
        <f t="shared" si="1"/>
        <v>98000</v>
      </c>
      <c r="Q370" s="25">
        <f t="shared" si="2"/>
        <v>187000</v>
      </c>
      <c r="R370" s="3"/>
      <c r="S370" s="1">
        <v>98000.0</v>
      </c>
      <c r="T370" s="1"/>
      <c r="U370" s="1"/>
      <c r="V370" s="1" t="s">
        <v>5</v>
      </c>
      <c r="W370" s="1"/>
      <c r="X370" s="1"/>
      <c r="Y370" s="1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81"/>
      <c r="AN370" s="81"/>
      <c r="AO370" s="81"/>
      <c r="AP370" s="81"/>
      <c r="AQ370" s="81"/>
      <c r="AR370" s="81"/>
      <c r="AS370" s="81"/>
      <c r="AT370" s="81"/>
      <c r="AU370" s="81"/>
      <c r="AV370" s="81"/>
      <c r="AW370" s="81"/>
      <c r="AX370" s="81"/>
      <c r="AY370" s="81"/>
      <c r="AZ370" s="81"/>
      <c r="BA370" s="81"/>
      <c r="BB370" s="81"/>
    </row>
    <row r="371">
      <c r="A371" s="3"/>
      <c r="B371" s="1"/>
      <c r="C371" s="70"/>
      <c r="D371" s="1">
        <v>6.57115721E8</v>
      </c>
      <c r="E371" s="105"/>
      <c r="F371" s="105" t="s">
        <v>632</v>
      </c>
      <c r="G371" s="105" t="s">
        <v>8</v>
      </c>
      <c r="H371" s="105" t="s">
        <v>8</v>
      </c>
      <c r="I371" s="70"/>
      <c r="J371" s="1">
        <v>5000.0</v>
      </c>
      <c r="K371" s="3"/>
      <c r="L371" s="3">
        <f>180000-J371</f>
        <v>175000</v>
      </c>
      <c r="M371" s="3"/>
      <c r="N371" s="70"/>
      <c r="O371" s="3"/>
      <c r="P371" s="3">
        <f t="shared" si="1"/>
        <v>18000</v>
      </c>
      <c r="Q371" s="25">
        <f t="shared" si="2"/>
        <v>157000</v>
      </c>
      <c r="R371" s="3"/>
      <c r="S371" s="1">
        <v>18000.0</v>
      </c>
      <c r="T371" s="1"/>
      <c r="U371" s="1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81"/>
      <c r="AN371" s="81"/>
      <c r="AO371" s="81"/>
      <c r="AP371" s="81"/>
      <c r="AQ371" s="81"/>
      <c r="AR371" s="81"/>
      <c r="AS371" s="81"/>
      <c r="AT371" s="81"/>
      <c r="AU371" s="81"/>
      <c r="AV371" s="81"/>
      <c r="AW371" s="81"/>
      <c r="AX371" s="81"/>
      <c r="AY371" s="81"/>
      <c r="AZ371" s="81"/>
      <c r="BA371" s="81"/>
      <c r="BB371" s="81"/>
    </row>
    <row r="372">
      <c r="A372" s="3"/>
      <c r="B372" s="3"/>
      <c r="C372" s="70"/>
      <c r="D372" s="105">
        <v>6.67123389E8</v>
      </c>
      <c r="E372" s="105" t="s">
        <v>166</v>
      </c>
      <c r="F372" s="105" t="s">
        <v>633</v>
      </c>
      <c r="G372" s="105" t="s">
        <v>115</v>
      </c>
      <c r="H372" s="105" t="s">
        <v>17</v>
      </c>
      <c r="I372" s="70"/>
      <c r="J372" s="1">
        <v>15000.0</v>
      </c>
      <c r="K372" s="3"/>
      <c r="L372" s="3">
        <f>245000-J372</f>
        <v>230000</v>
      </c>
      <c r="M372" s="3"/>
      <c r="N372" s="70"/>
      <c r="O372" s="3"/>
      <c r="P372" s="3">
        <f t="shared" si="1"/>
        <v>83000</v>
      </c>
      <c r="Q372" s="25">
        <f t="shared" si="2"/>
        <v>147000</v>
      </c>
      <c r="R372" s="3"/>
      <c r="S372" s="1">
        <f>98000-15000</f>
        <v>83000</v>
      </c>
      <c r="T372" s="1"/>
      <c r="U372" s="1"/>
      <c r="V372" s="3"/>
      <c r="W372" s="3"/>
      <c r="X372" s="1"/>
      <c r="Y372" s="1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81"/>
      <c r="AN372" s="81"/>
      <c r="AO372" s="81"/>
      <c r="AP372" s="81"/>
      <c r="AQ372" s="81"/>
      <c r="AR372" s="81"/>
      <c r="AS372" s="81"/>
      <c r="AT372" s="81"/>
      <c r="AU372" s="81"/>
      <c r="AV372" s="81"/>
      <c r="AW372" s="81"/>
      <c r="AX372" s="81"/>
      <c r="AY372" s="81"/>
      <c r="AZ372" s="81"/>
      <c r="BA372" s="81"/>
      <c r="BB372" s="81"/>
    </row>
    <row r="373">
      <c r="A373" s="3"/>
      <c r="B373" s="3"/>
      <c r="C373" s="70"/>
      <c r="D373" s="105">
        <v>6.67123389E8</v>
      </c>
      <c r="E373" s="105" t="s">
        <v>166</v>
      </c>
      <c r="F373" s="105" t="s">
        <v>634</v>
      </c>
      <c r="G373" s="105" t="s">
        <v>115</v>
      </c>
      <c r="H373" s="105" t="s">
        <v>35</v>
      </c>
      <c r="I373" s="70"/>
      <c r="J373" s="1">
        <v>5000.0</v>
      </c>
      <c r="K373" s="3"/>
      <c r="L373" s="3">
        <f>280000-J373</f>
        <v>275000</v>
      </c>
      <c r="M373" s="3"/>
      <c r="N373" s="70"/>
      <c r="O373" s="3"/>
      <c r="P373" s="3">
        <f t="shared" si="1"/>
        <v>107000</v>
      </c>
      <c r="Q373" s="25">
        <f t="shared" si="2"/>
        <v>168000</v>
      </c>
      <c r="R373" s="1"/>
      <c r="S373" s="1">
        <f>112000-5000</f>
        <v>107000</v>
      </c>
      <c r="T373" s="3"/>
      <c r="U373" s="3"/>
      <c r="V373" s="3"/>
      <c r="W373" s="1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81"/>
      <c r="AN373" s="81"/>
      <c r="AO373" s="81"/>
      <c r="AP373" s="81"/>
      <c r="AQ373" s="81"/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</row>
    <row r="374">
      <c r="A374" s="3"/>
      <c r="B374" s="3"/>
      <c r="C374" s="70"/>
      <c r="D374" s="105" t="s">
        <v>635</v>
      </c>
      <c r="E374" s="70"/>
      <c r="F374" s="105" t="s">
        <v>636</v>
      </c>
      <c r="G374" s="105" t="s">
        <v>144</v>
      </c>
      <c r="H374" s="105" t="s">
        <v>49</v>
      </c>
      <c r="I374" s="70"/>
      <c r="J374" s="1">
        <v>95000.0</v>
      </c>
      <c r="K374" s="3"/>
      <c r="L374" s="3">
        <f>355000-J374</f>
        <v>260000</v>
      </c>
      <c r="M374" s="3"/>
      <c r="N374" s="70"/>
      <c r="O374" s="3"/>
      <c r="P374" s="3">
        <f t="shared" si="1"/>
        <v>260000</v>
      </c>
      <c r="Q374" s="25">
        <f t="shared" si="2"/>
        <v>0</v>
      </c>
      <c r="R374" s="3"/>
      <c r="S374" s="1">
        <v>260000.0</v>
      </c>
      <c r="T374" s="3"/>
      <c r="U374" s="1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81"/>
      <c r="AN374" s="81"/>
      <c r="AO374" s="81"/>
      <c r="AP374" s="81"/>
      <c r="AQ374" s="81"/>
      <c r="AR374" s="81"/>
      <c r="AS374" s="81"/>
      <c r="AT374" s="81"/>
      <c r="AU374" s="81"/>
      <c r="AV374" s="81"/>
      <c r="AW374" s="81"/>
      <c r="AX374" s="81"/>
      <c r="AY374" s="81"/>
      <c r="AZ374" s="81"/>
      <c r="BA374" s="81"/>
      <c r="BB374" s="81"/>
    </row>
    <row r="375">
      <c r="A375" s="3"/>
      <c r="B375" s="3"/>
      <c r="C375" s="70"/>
      <c r="D375" s="105" t="s">
        <v>637</v>
      </c>
      <c r="E375" s="70"/>
      <c r="F375" s="105" t="s">
        <v>638</v>
      </c>
      <c r="G375" s="105" t="s">
        <v>171</v>
      </c>
      <c r="H375" s="105" t="s">
        <v>226</v>
      </c>
      <c r="I375" s="70"/>
      <c r="J375" s="1">
        <v>95000.0</v>
      </c>
      <c r="K375" s="3"/>
      <c r="L375" s="3">
        <f>375000-J375</f>
        <v>280000</v>
      </c>
      <c r="M375" s="3"/>
      <c r="N375" s="70"/>
      <c r="O375" s="3"/>
      <c r="P375" s="3">
        <f t="shared" si="1"/>
        <v>280000</v>
      </c>
      <c r="Q375" s="25">
        <f t="shared" si="2"/>
        <v>0</v>
      </c>
      <c r="R375" s="1"/>
      <c r="S375" s="1">
        <v>280000.0</v>
      </c>
      <c r="T375" s="1"/>
      <c r="U375" s="1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81"/>
      <c r="AN375" s="81"/>
      <c r="AO375" s="81"/>
      <c r="AP375" s="81"/>
      <c r="AQ375" s="81"/>
      <c r="AR375" s="81"/>
      <c r="AS375" s="81"/>
      <c r="AT375" s="81"/>
      <c r="AU375" s="81"/>
      <c r="AV375" s="81"/>
      <c r="AW375" s="81"/>
      <c r="AX375" s="81"/>
      <c r="AY375" s="81"/>
      <c r="AZ375" s="81"/>
      <c r="BA375" s="81"/>
      <c r="BB375" s="81"/>
    </row>
    <row r="376">
      <c r="A376" s="3"/>
      <c r="B376" s="3"/>
      <c r="C376" s="70"/>
      <c r="D376" s="105" t="s">
        <v>639</v>
      </c>
      <c r="E376" s="70"/>
      <c r="F376" s="105" t="s">
        <v>640</v>
      </c>
      <c r="G376" s="105" t="s">
        <v>115</v>
      </c>
      <c r="H376" s="105" t="s">
        <v>46</v>
      </c>
      <c r="I376" s="105" t="s">
        <v>129</v>
      </c>
      <c r="J376" s="3"/>
      <c r="K376" s="3"/>
      <c r="L376" s="3">
        <f>300000+52000-J376</f>
        <v>352000</v>
      </c>
      <c r="M376" s="3"/>
      <c r="N376" s="70"/>
      <c r="O376" s="3"/>
      <c r="P376" s="3">
        <f t="shared" si="1"/>
        <v>150000</v>
      </c>
      <c r="Q376" s="25">
        <f t="shared" si="2"/>
        <v>202000</v>
      </c>
      <c r="R376" s="3"/>
      <c r="S376" s="1">
        <v>120000.0</v>
      </c>
      <c r="T376" s="1"/>
      <c r="U376" s="1"/>
      <c r="V376" s="1" t="s">
        <v>29</v>
      </c>
      <c r="W376" s="1">
        <v>30000.0</v>
      </c>
      <c r="X376" s="3"/>
      <c r="Y376" s="3"/>
      <c r="Z376" s="3"/>
      <c r="AA376" s="3"/>
      <c r="AB376" s="3"/>
      <c r="AC376" s="3"/>
      <c r="AD376" s="1"/>
      <c r="AE376" s="3"/>
      <c r="AF376" s="3"/>
      <c r="AG376" s="3"/>
      <c r="AH376" s="3"/>
      <c r="AI376" s="3"/>
      <c r="AJ376" s="3"/>
      <c r="AK376" s="3"/>
      <c r="AL376" s="3"/>
      <c r="AM376" s="81"/>
      <c r="AN376" s="81"/>
      <c r="AO376" s="81"/>
      <c r="AP376" s="81"/>
      <c r="AQ376" s="81"/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</row>
    <row r="377">
      <c r="A377" s="3"/>
      <c r="B377" s="3"/>
      <c r="C377" s="70"/>
      <c r="D377" s="105" t="s">
        <v>639</v>
      </c>
      <c r="E377" s="105" t="s">
        <v>166</v>
      </c>
      <c r="F377" s="105" t="s">
        <v>641</v>
      </c>
      <c r="G377" s="105" t="s">
        <v>8</v>
      </c>
      <c r="H377" s="105" t="s">
        <v>8</v>
      </c>
      <c r="I377" s="105" t="s">
        <v>129</v>
      </c>
      <c r="J377" s="1">
        <v>10000.0</v>
      </c>
      <c r="K377" s="3"/>
      <c r="L377" s="3">
        <f>180000+52000-J377</f>
        <v>222000</v>
      </c>
      <c r="M377" s="3"/>
      <c r="N377" s="70"/>
      <c r="O377" s="3"/>
      <c r="P377" s="3">
        <f t="shared" si="1"/>
        <v>92000</v>
      </c>
      <c r="Q377" s="25">
        <f t="shared" si="2"/>
        <v>130000</v>
      </c>
      <c r="R377" s="3"/>
      <c r="S377" s="1">
        <v>62000.0</v>
      </c>
      <c r="T377" s="1"/>
      <c r="U377" s="1"/>
      <c r="V377" s="1" t="s">
        <v>29</v>
      </c>
      <c r="W377" s="1">
        <v>30000.0</v>
      </c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81"/>
      <c r="AN377" s="81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</row>
    <row r="378">
      <c r="A378" s="3"/>
      <c r="B378" s="3"/>
      <c r="C378" s="70"/>
      <c r="D378" s="113">
        <v>6.96845941E8</v>
      </c>
      <c r="E378" s="70"/>
      <c r="F378" s="105" t="s">
        <v>642</v>
      </c>
      <c r="G378" s="105" t="s">
        <v>115</v>
      </c>
      <c r="H378" s="105" t="s">
        <v>43</v>
      </c>
      <c r="I378" s="105" t="s">
        <v>129</v>
      </c>
      <c r="J378" s="1">
        <v>25000.0</v>
      </c>
      <c r="K378" s="3"/>
      <c r="L378" s="3">
        <f>300000+52000-J378</f>
        <v>327000</v>
      </c>
      <c r="M378" s="3"/>
      <c r="N378" s="70"/>
      <c r="O378" s="3"/>
      <c r="P378" s="3">
        <f t="shared" si="1"/>
        <v>40000</v>
      </c>
      <c r="Q378" s="25">
        <f t="shared" si="2"/>
        <v>287000</v>
      </c>
      <c r="R378" s="3"/>
      <c r="S378" s="1">
        <v>40000.0</v>
      </c>
      <c r="T378" s="1"/>
      <c r="U378" s="1"/>
      <c r="V378" s="1" t="s">
        <v>29</v>
      </c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81"/>
      <c r="AN378" s="81"/>
      <c r="AO378" s="81"/>
      <c r="AP378" s="81"/>
      <c r="AQ378" s="81"/>
      <c r="AR378" s="81"/>
      <c r="AS378" s="81"/>
      <c r="AT378" s="81"/>
      <c r="AU378" s="81"/>
      <c r="AV378" s="81"/>
      <c r="AW378" s="81"/>
      <c r="AX378" s="81"/>
      <c r="AY378" s="81"/>
      <c r="AZ378" s="81"/>
      <c r="BA378" s="81"/>
      <c r="BB378" s="81"/>
    </row>
    <row r="379">
      <c r="A379" s="3"/>
      <c r="B379" s="3"/>
      <c r="C379" s="70"/>
      <c r="D379" s="113">
        <v>6.96845941E8</v>
      </c>
      <c r="E379" s="105" t="s">
        <v>166</v>
      </c>
      <c r="F379" s="105" t="s">
        <v>643</v>
      </c>
      <c r="G379" s="105" t="s">
        <v>8</v>
      </c>
      <c r="H379" s="105" t="s">
        <v>8</v>
      </c>
      <c r="I379" s="105" t="s">
        <v>129</v>
      </c>
      <c r="J379" s="1">
        <v>5000.0</v>
      </c>
      <c r="K379" s="3"/>
      <c r="L379" s="3">
        <f>180000+52000-J379</f>
        <v>227000</v>
      </c>
      <c r="M379" s="3"/>
      <c r="N379" s="70"/>
      <c r="O379" s="3"/>
      <c r="P379" s="3">
        <f t="shared" si="1"/>
        <v>40000</v>
      </c>
      <c r="Q379" s="25">
        <f t="shared" si="2"/>
        <v>187000</v>
      </c>
      <c r="R379" s="3"/>
      <c r="S379" s="1">
        <v>40000.0</v>
      </c>
      <c r="T379" s="1"/>
      <c r="U379" s="1"/>
      <c r="V379" s="1" t="s">
        <v>29</v>
      </c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81"/>
      <c r="AN379" s="81"/>
      <c r="AO379" s="81"/>
      <c r="AP379" s="81"/>
      <c r="AQ379" s="81"/>
      <c r="AR379" s="81"/>
      <c r="AS379" s="81"/>
      <c r="AT379" s="81"/>
      <c r="AU379" s="81"/>
      <c r="AV379" s="81"/>
      <c r="AW379" s="81"/>
      <c r="AX379" s="81"/>
      <c r="AY379" s="81"/>
      <c r="AZ379" s="81"/>
      <c r="BA379" s="81"/>
      <c r="BB379" s="81"/>
    </row>
    <row r="380">
      <c r="A380" s="3"/>
      <c r="B380" s="3"/>
      <c r="C380" s="70"/>
      <c r="D380" s="105">
        <v>5.57006669E8</v>
      </c>
      <c r="E380" s="70"/>
      <c r="F380" s="105" t="s">
        <v>644</v>
      </c>
      <c r="G380" s="105" t="s">
        <v>144</v>
      </c>
      <c r="H380" s="105" t="s">
        <v>56</v>
      </c>
      <c r="I380" s="105" t="s">
        <v>129</v>
      </c>
      <c r="J380" s="1">
        <v>5000.0</v>
      </c>
      <c r="K380" s="3"/>
      <c r="L380" s="3">
        <f>355000+52000-J380</f>
        <v>402000</v>
      </c>
      <c r="M380" s="3"/>
      <c r="N380" s="70"/>
      <c r="O380" s="3"/>
      <c r="P380" s="3">
        <f t="shared" si="1"/>
        <v>99000</v>
      </c>
      <c r="Q380" s="25">
        <f t="shared" si="2"/>
        <v>303000</v>
      </c>
      <c r="R380" s="3"/>
      <c r="S380" s="1">
        <v>95000.0</v>
      </c>
      <c r="T380" s="1">
        <v>4000.0</v>
      </c>
      <c r="U380" s="3"/>
      <c r="V380" s="1" t="s">
        <v>595</v>
      </c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81"/>
      <c r="AN380" s="81"/>
      <c r="AO380" s="81"/>
      <c r="AP380" s="81"/>
      <c r="AQ380" s="81"/>
      <c r="AR380" s="81"/>
      <c r="AS380" s="81"/>
      <c r="AT380" s="81"/>
      <c r="AU380" s="81"/>
      <c r="AV380" s="81"/>
      <c r="AW380" s="81"/>
      <c r="AX380" s="81"/>
      <c r="AY380" s="81"/>
      <c r="AZ380" s="81"/>
      <c r="BA380" s="81"/>
      <c r="BB380" s="81"/>
    </row>
    <row r="381">
      <c r="A381" s="3"/>
      <c r="B381" s="3"/>
      <c r="C381" s="70"/>
      <c r="D381" s="105">
        <v>5.57006669E8</v>
      </c>
      <c r="E381" s="105" t="s">
        <v>166</v>
      </c>
      <c r="F381" s="105" t="s">
        <v>645</v>
      </c>
      <c r="G381" s="105" t="s">
        <v>115</v>
      </c>
      <c r="H381" s="105" t="s">
        <v>17</v>
      </c>
      <c r="I381" s="70"/>
      <c r="J381" s="1">
        <v>5000.0</v>
      </c>
      <c r="K381" s="3"/>
      <c r="L381" s="3">
        <f>245000+52000-J381</f>
        <v>292000</v>
      </c>
      <c r="M381" s="3"/>
      <c r="N381" s="70"/>
      <c r="O381" s="3"/>
      <c r="P381" s="3">
        <f t="shared" si="1"/>
        <v>95000</v>
      </c>
      <c r="Q381" s="25">
        <f t="shared" si="2"/>
        <v>197000</v>
      </c>
      <c r="R381" s="3"/>
      <c r="S381" s="1">
        <v>95000.0</v>
      </c>
      <c r="T381" s="1"/>
      <c r="U381" s="1"/>
      <c r="V381" s="1" t="s">
        <v>595</v>
      </c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81"/>
      <c r="AN381" s="81"/>
      <c r="AO381" s="81"/>
      <c r="AP381" s="81"/>
      <c r="AQ381" s="81"/>
      <c r="AR381" s="81"/>
      <c r="AS381" s="81"/>
      <c r="AT381" s="81"/>
      <c r="AU381" s="81"/>
      <c r="AV381" s="81"/>
      <c r="AW381" s="81"/>
      <c r="AX381" s="81"/>
      <c r="AY381" s="81"/>
      <c r="AZ381" s="81"/>
      <c r="BA381" s="81"/>
      <c r="BB381" s="81"/>
    </row>
    <row r="382">
      <c r="A382" s="3"/>
      <c r="B382" s="3"/>
      <c r="C382" s="70"/>
      <c r="D382" s="105">
        <v>5.55581005E8</v>
      </c>
      <c r="E382" s="70"/>
      <c r="F382" s="105" t="s">
        <v>646</v>
      </c>
      <c r="G382" s="105" t="s">
        <v>115</v>
      </c>
      <c r="H382" s="105" t="s">
        <v>46</v>
      </c>
      <c r="I382" s="70"/>
      <c r="J382" s="1">
        <v>30000.0</v>
      </c>
      <c r="K382" s="3"/>
      <c r="L382" s="3">
        <f>300000-J382</f>
        <v>270000</v>
      </c>
      <c r="M382" s="3"/>
      <c r="N382" s="70"/>
      <c r="O382" s="3"/>
      <c r="P382" s="3">
        <f t="shared" si="1"/>
        <v>270000</v>
      </c>
      <c r="Q382" s="25">
        <f t="shared" si="2"/>
        <v>0</v>
      </c>
      <c r="R382" s="3"/>
      <c r="S382" s="1">
        <v>90000.0</v>
      </c>
      <c r="T382" s="1">
        <v>90000.0</v>
      </c>
      <c r="U382" s="1">
        <v>90000.0</v>
      </c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81"/>
      <c r="AN382" s="81"/>
      <c r="AO382" s="81"/>
      <c r="AP382" s="81"/>
      <c r="AQ382" s="81"/>
      <c r="AR382" s="81"/>
      <c r="AS382" s="81"/>
      <c r="AT382" s="81"/>
      <c r="AU382" s="81"/>
      <c r="AV382" s="81"/>
      <c r="AW382" s="81"/>
      <c r="AX382" s="81"/>
      <c r="AY382" s="81"/>
      <c r="AZ382" s="81"/>
      <c r="BA382" s="81"/>
      <c r="BB382" s="81"/>
    </row>
    <row r="383">
      <c r="A383" s="3"/>
      <c r="B383" s="3"/>
      <c r="C383" s="105"/>
      <c r="D383" s="105">
        <v>5.5888818E8</v>
      </c>
      <c r="E383" s="105" t="s">
        <v>166</v>
      </c>
      <c r="F383" s="105" t="s">
        <v>647</v>
      </c>
      <c r="G383" s="105" t="s">
        <v>115</v>
      </c>
      <c r="H383" s="105" t="s">
        <v>17</v>
      </c>
      <c r="I383" s="70"/>
      <c r="J383" s="1">
        <f>24500+5000</f>
        <v>29500</v>
      </c>
      <c r="K383" s="3"/>
      <c r="L383" s="3">
        <f>245000-J383</f>
        <v>215500</v>
      </c>
      <c r="M383" s="3"/>
      <c r="N383" s="70"/>
      <c r="O383" s="3"/>
      <c r="P383" s="3">
        <f t="shared" si="1"/>
        <v>215500</v>
      </c>
      <c r="Q383" s="25">
        <f t="shared" si="2"/>
        <v>0</v>
      </c>
      <c r="R383" s="3"/>
      <c r="S383" s="1">
        <v>68500.0</v>
      </c>
      <c r="T383" s="1">
        <v>73500.0</v>
      </c>
      <c r="U383" s="1">
        <v>73500.0</v>
      </c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</row>
    <row r="384">
      <c r="A384" s="3"/>
      <c r="B384" s="3"/>
      <c r="C384" s="70"/>
      <c r="D384" s="105">
        <v>5.5888818E8</v>
      </c>
      <c r="E384" s="70"/>
      <c r="F384" s="105" t="s">
        <v>648</v>
      </c>
      <c r="G384" s="105" t="s">
        <v>144</v>
      </c>
      <c r="H384" s="105" t="s">
        <v>56</v>
      </c>
      <c r="I384" s="70"/>
      <c r="J384" s="3">
        <f>35500+13000+5000+16500</f>
        <v>70000</v>
      </c>
      <c r="K384" s="3"/>
      <c r="L384" s="3">
        <f>355000-J384</f>
        <v>285000</v>
      </c>
      <c r="M384" s="3"/>
      <c r="N384" s="70"/>
      <c r="O384" s="3"/>
      <c r="P384" s="3">
        <f t="shared" si="1"/>
        <v>285000</v>
      </c>
      <c r="Q384" s="25">
        <f t="shared" si="2"/>
        <v>0</v>
      </c>
      <c r="R384" s="3"/>
      <c r="S384" s="1">
        <v>87000.0</v>
      </c>
      <c r="T384" s="1">
        <v>99000.0</v>
      </c>
      <c r="U384" s="1">
        <v>99000.0</v>
      </c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81"/>
      <c r="AN384" s="81"/>
      <c r="AO384" s="81"/>
      <c r="AP384" s="81"/>
      <c r="AQ384" s="81"/>
      <c r="AR384" s="81"/>
      <c r="AS384" s="81"/>
      <c r="AT384" s="81"/>
      <c r="AU384" s="81"/>
      <c r="AV384" s="81"/>
      <c r="AW384" s="81"/>
      <c r="AX384" s="81"/>
      <c r="AY384" s="81"/>
      <c r="AZ384" s="81"/>
      <c r="BA384" s="81"/>
      <c r="BB384" s="81"/>
    </row>
    <row r="385">
      <c r="A385" s="3"/>
      <c r="B385" s="3"/>
      <c r="C385" s="70"/>
      <c r="D385" s="105">
        <v>5.5888818E8</v>
      </c>
      <c r="E385" s="70"/>
      <c r="F385" s="105" t="s">
        <v>649</v>
      </c>
      <c r="G385" s="105" t="s">
        <v>115</v>
      </c>
      <c r="H385" s="105" t="s">
        <v>46</v>
      </c>
      <c r="I385" s="105"/>
      <c r="J385" s="1">
        <f>30000+15000+5000+15000</f>
        <v>65000</v>
      </c>
      <c r="K385" s="3"/>
      <c r="L385" s="3">
        <f>300000-J385</f>
        <v>235000</v>
      </c>
      <c r="M385" s="3"/>
      <c r="N385" s="70"/>
      <c r="O385" s="3"/>
      <c r="P385" s="3">
        <f t="shared" si="1"/>
        <v>235000</v>
      </c>
      <c r="Q385" s="25">
        <f t="shared" si="2"/>
        <v>0</v>
      </c>
      <c r="R385" s="3"/>
      <c r="S385" s="1">
        <v>55000.0</v>
      </c>
      <c r="T385" s="1">
        <v>90000.0</v>
      </c>
      <c r="U385" s="1">
        <v>90000.0</v>
      </c>
      <c r="V385" s="1"/>
      <c r="W385" s="1"/>
      <c r="X385" s="1"/>
      <c r="Y385" s="1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81"/>
      <c r="AN385" s="81"/>
      <c r="AO385" s="81"/>
      <c r="AP385" s="81"/>
      <c r="AQ385" s="81"/>
      <c r="AR385" s="81"/>
      <c r="AS385" s="81"/>
      <c r="AT385" s="81"/>
      <c r="AU385" s="81"/>
      <c r="AV385" s="81"/>
      <c r="AW385" s="81"/>
      <c r="AX385" s="81"/>
      <c r="AY385" s="81"/>
      <c r="AZ385" s="81"/>
      <c r="BA385" s="81"/>
      <c r="BB385" s="81"/>
    </row>
    <row r="386">
      <c r="A386" s="3"/>
      <c r="B386" s="3"/>
      <c r="C386" s="70"/>
      <c r="D386" s="105">
        <v>5.57022099E8</v>
      </c>
      <c r="E386" s="105" t="s">
        <v>166</v>
      </c>
      <c r="F386" s="105" t="s">
        <v>650</v>
      </c>
      <c r="G386" s="105" t="s">
        <v>115</v>
      </c>
      <c r="H386" s="105" t="s">
        <v>17</v>
      </c>
      <c r="I386" s="105" t="s">
        <v>129</v>
      </c>
      <c r="J386" s="3"/>
      <c r="K386" s="3"/>
      <c r="L386" s="3">
        <f>245000+40000-J386</f>
        <v>285000</v>
      </c>
      <c r="M386" s="3"/>
      <c r="N386" s="70"/>
      <c r="O386" s="3"/>
      <c r="P386" s="3">
        <f t="shared" si="1"/>
        <v>100000</v>
      </c>
      <c r="Q386" s="25">
        <f t="shared" si="2"/>
        <v>185000</v>
      </c>
      <c r="R386" s="3"/>
      <c r="S386" s="1">
        <v>100000.0</v>
      </c>
      <c r="T386" s="1"/>
      <c r="U386" s="1"/>
      <c r="V386" s="1" t="s">
        <v>5</v>
      </c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81"/>
      <c r="AN386" s="81"/>
      <c r="AO386" s="8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81"/>
    </row>
    <row r="387">
      <c r="A387" s="3"/>
      <c r="B387" s="3"/>
      <c r="C387" s="70"/>
      <c r="D387" s="105">
        <v>5.41981748E8</v>
      </c>
      <c r="E387" s="70"/>
      <c r="F387" s="105" t="s">
        <v>651</v>
      </c>
      <c r="G387" s="105" t="s">
        <v>115</v>
      </c>
      <c r="H387" s="105" t="s">
        <v>22</v>
      </c>
      <c r="I387" s="70"/>
      <c r="J387" s="1">
        <v>50000.0</v>
      </c>
      <c r="K387" s="3"/>
      <c r="L387" s="3">
        <f>265000-J387</f>
        <v>215000</v>
      </c>
      <c r="M387" s="3"/>
      <c r="N387" s="70"/>
      <c r="O387" s="3"/>
      <c r="P387" s="3">
        <f t="shared" si="1"/>
        <v>199000</v>
      </c>
      <c r="Q387" s="25">
        <f t="shared" si="2"/>
        <v>16000</v>
      </c>
      <c r="R387" s="1"/>
      <c r="S387" s="1">
        <v>199000.0</v>
      </c>
      <c r="T387" s="1"/>
      <c r="U387" s="1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81"/>
      <c r="AN387" s="81"/>
      <c r="AO387" s="81"/>
      <c r="AP387" s="81"/>
      <c r="AQ387" s="81"/>
      <c r="AR387" s="81"/>
      <c r="AS387" s="81"/>
      <c r="AT387" s="81"/>
      <c r="AU387" s="81"/>
      <c r="AV387" s="81"/>
      <c r="AW387" s="81"/>
      <c r="AX387" s="81"/>
      <c r="AY387" s="81"/>
      <c r="AZ387" s="81"/>
      <c r="BA387" s="81"/>
      <c r="BB387" s="81"/>
    </row>
    <row r="388">
      <c r="A388" s="3"/>
      <c r="B388" s="3"/>
      <c r="C388" s="70"/>
      <c r="D388" s="105">
        <v>5.41981748E8</v>
      </c>
      <c r="E388" s="70"/>
      <c r="F388" s="105" t="s">
        <v>652</v>
      </c>
      <c r="G388" s="105" t="s">
        <v>144</v>
      </c>
      <c r="H388" s="105" t="s">
        <v>49</v>
      </c>
      <c r="I388" s="70"/>
      <c r="J388" s="1">
        <v>71000.0</v>
      </c>
      <c r="K388" s="3"/>
      <c r="L388" s="3">
        <f>330000-J388</f>
        <v>259000</v>
      </c>
      <c r="M388" s="3"/>
      <c r="N388" s="70"/>
      <c r="O388" s="3"/>
      <c r="P388" s="3">
        <f t="shared" si="1"/>
        <v>100000</v>
      </c>
      <c r="Q388" s="25">
        <f t="shared" si="2"/>
        <v>159000</v>
      </c>
      <c r="R388" s="3"/>
      <c r="S388" s="1">
        <v>100000.0</v>
      </c>
      <c r="T388" s="1"/>
      <c r="U388" s="1"/>
      <c r="V388" s="3"/>
      <c r="W388" s="1"/>
      <c r="X388" s="1"/>
      <c r="Y388" s="1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81"/>
      <c r="AN388" s="81"/>
      <c r="AO388" s="81"/>
      <c r="AP388" s="81"/>
      <c r="AQ388" s="81"/>
      <c r="AR388" s="81"/>
      <c r="AS388" s="81"/>
      <c r="AT388" s="81"/>
      <c r="AU388" s="81"/>
      <c r="AV388" s="81"/>
      <c r="AW388" s="81"/>
      <c r="AX388" s="81"/>
      <c r="AY388" s="81"/>
      <c r="AZ388" s="81"/>
      <c r="BA388" s="81"/>
      <c r="BB388" s="81"/>
    </row>
    <row r="389">
      <c r="A389" s="3"/>
      <c r="B389" s="3"/>
      <c r="C389" s="70"/>
      <c r="D389" s="105">
        <v>5.41981748E8</v>
      </c>
      <c r="E389" s="70"/>
      <c r="F389" s="105" t="s">
        <v>653</v>
      </c>
      <c r="G389" s="105" t="s">
        <v>171</v>
      </c>
      <c r="H389" s="105" t="s">
        <v>226</v>
      </c>
      <c r="I389" s="70"/>
      <c r="J389" s="1">
        <v>50000.0</v>
      </c>
      <c r="K389" s="3"/>
      <c r="L389" s="3">
        <f>375000-J389</f>
        <v>325000</v>
      </c>
      <c r="M389" s="3"/>
      <c r="N389" s="70"/>
      <c r="O389" s="3"/>
      <c r="P389" s="3">
        <f t="shared" si="1"/>
        <v>100000</v>
      </c>
      <c r="Q389" s="25">
        <f t="shared" si="2"/>
        <v>225000</v>
      </c>
      <c r="R389" s="3"/>
      <c r="S389" s="1">
        <v>100000.0</v>
      </c>
      <c r="T389" s="1"/>
      <c r="U389" s="1"/>
      <c r="V389" s="3"/>
      <c r="W389" s="1"/>
      <c r="X389" s="1"/>
      <c r="Y389" s="1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81"/>
      <c r="AN389" s="81"/>
      <c r="AO389" s="8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/>
    </row>
    <row r="390">
      <c r="A390" s="3"/>
      <c r="B390" s="3"/>
      <c r="C390" s="70"/>
      <c r="D390" s="105">
        <v>6.61350061E8</v>
      </c>
      <c r="E390" s="70"/>
      <c r="F390" s="105" t="s">
        <v>654</v>
      </c>
      <c r="G390" s="105" t="s">
        <v>144</v>
      </c>
      <c r="H390" s="105" t="s">
        <v>56</v>
      </c>
      <c r="I390" s="70"/>
      <c r="J390" s="1">
        <v>5000.0</v>
      </c>
      <c r="K390" s="3"/>
      <c r="L390" s="3">
        <f>350500-J390</f>
        <v>345500</v>
      </c>
      <c r="M390" s="3"/>
      <c r="N390" s="70"/>
      <c r="O390" s="3"/>
      <c r="P390" s="3">
        <f t="shared" si="1"/>
        <v>20000</v>
      </c>
      <c r="Q390" s="25">
        <f t="shared" si="2"/>
        <v>325500</v>
      </c>
      <c r="R390" s="3"/>
      <c r="S390" s="1">
        <v>20000.0</v>
      </c>
      <c r="T390" s="1"/>
      <c r="U390" s="1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81"/>
      <c r="AN390" s="81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</row>
    <row r="391">
      <c r="A391" s="3"/>
      <c r="B391" s="3"/>
      <c r="C391" s="70"/>
      <c r="D391" s="105">
        <v>6.61350061E8</v>
      </c>
      <c r="E391" s="70"/>
      <c r="F391" s="105" t="s">
        <v>655</v>
      </c>
      <c r="G391" s="105" t="s">
        <v>144</v>
      </c>
      <c r="H391" s="105" t="s">
        <v>49</v>
      </c>
      <c r="I391" s="70"/>
      <c r="J391" s="1">
        <v>15000.0</v>
      </c>
      <c r="K391" s="3"/>
      <c r="L391" s="3">
        <f>330000-J391</f>
        <v>315000</v>
      </c>
      <c r="M391" s="3"/>
      <c r="N391" s="70"/>
      <c r="O391" s="3"/>
      <c r="P391" s="3">
        <f t="shared" si="1"/>
        <v>20000</v>
      </c>
      <c r="Q391" s="25">
        <f t="shared" si="2"/>
        <v>295000</v>
      </c>
      <c r="R391" s="3"/>
      <c r="S391" s="1">
        <v>20000.0</v>
      </c>
      <c r="T391" s="1"/>
      <c r="U391" s="1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81"/>
      <c r="AN391" s="81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</row>
    <row r="392">
      <c r="A392" s="3"/>
      <c r="B392" s="3"/>
      <c r="C392" s="70"/>
      <c r="D392" s="70"/>
      <c r="E392" s="70"/>
      <c r="F392" s="70"/>
      <c r="G392" s="70"/>
      <c r="H392" s="70"/>
      <c r="I392" s="70"/>
      <c r="J392" s="1"/>
      <c r="K392" s="3"/>
      <c r="L392" s="3"/>
      <c r="M392" s="3"/>
      <c r="N392" s="70"/>
      <c r="O392" s="3"/>
      <c r="P392" s="3">
        <f t="shared" si="1"/>
        <v>0</v>
      </c>
      <c r="Q392" s="25">
        <f t="shared" si="2"/>
        <v>0</v>
      </c>
      <c r="R392" s="3"/>
      <c r="S392" s="3"/>
      <c r="T392" s="1"/>
      <c r="U392" s="1"/>
      <c r="V392" s="3"/>
      <c r="W392" s="3"/>
      <c r="X392" s="1"/>
      <c r="Y392" s="1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81"/>
      <c r="AN392" s="81"/>
      <c r="AO392" s="8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81"/>
    </row>
    <row r="393">
      <c r="A393" s="1"/>
      <c r="B393" s="3"/>
      <c r="C393" s="70"/>
      <c r="D393" s="70"/>
      <c r="E393" s="70"/>
      <c r="F393" s="70"/>
      <c r="G393" s="70"/>
      <c r="H393" s="70"/>
      <c r="I393" s="70"/>
      <c r="J393" s="1"/>
      <c r="K393" s="3"/>
      <c r="L393" s="3"/>
      <c r="M393" s="3"/>
      <c r="N393" s="70"/>
      <c r="O393" s="3"/>
      <c r="P393" s="3">
        <f t="shared" si="1"/>
        <v>0</v>
      </c>
      <c r="Q393" s="25">
        <f t="shared" si="2"/>
        <v>0</v>
      </c>
      <c r="R393" s="3"/>
      <c r="S393" s="1"/>
      <c r="T393" s="1"/>
      <c r="U393" s="1"/>
      <c r="V393" s="3"/>
      <c r="W393" s="1"/>
      <c r="X393" s="1"/>
      <c r="Y393" s="1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81"/>
      <c r="AN393" s="81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</row>
    <row r="394">
      <c r="A394" s="3"/>
      <c r="B394" s="3"/>
      <c r="C394" s="70"/>
      <c r="D394" s="70"/>
      <c r="E394" s="70"/>
      <c r="F394" s="70"/>
      <c r="G394" s="70"/>
      <c r="H394" s="70"/>
      <c r="I394" s="70"/>
      <c r="J394" s="1"/>
      <c r="K394" s="3"/>
      <c r="L394" s="3"/>
      <c r="M394" s="3"/>
      <c r="N394" s="70"/>
      <c r="O394" s="3"/>
      <c r="P394" s="3">
        <f t="shared" si="1"/>
        <v>0</v>
      </c>
      <c r="Q394" s="25">
        <f t="shared" si="2"/>
        <v>0</v>
      </c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1"/>
      <c r="AH394" s="3"/>
      <c r="AI394" s="1"/>
      <c r="AJ394" s="3"/>
      <c r="AK394" s="3"/>
      <c r="AL394" s="3"/>
      <c r="AM394" s="81"/>
      <c r="AN394" s="81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</row>
    <row r="395">
      <c r="A395" s="3"/>
      <c r="B395" s="3"/>
      <c r="C395" s="70"/>
      <c r="D395" s="131"/>
      <c r="E395" s="70"/>
      <c r="F395" s="70"/>
      <c r="G395" s="70"/>
      <c r="H395" s="70"/>
      <c r="I395" s="70"/>
      <c r="J395" s="3"/>
      <c r="K395" s="3"/>
      <c r="L395" s="3"/>
      <c r="M395" s="3"/>
      <c r="N395" s="70"/>
      <c r="O395" s="3"/>
      <c r="P395" s="3">
        <f t="shared" si="1"/>
        <v>0</v>
      </c>
      <c r="Q395" s="25">
        <f t="shared" si="2"/>
        <v>0</v>
      </c>
      <c r="R395" s="3"/>
      <c r="S395" s="1"/>
      <c r="T395" s="1"/>
      <c r="U395" s="1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</row>
    <row r="396">
      <c r="A396" s="3"/>
      <c r="B396" s="3"/>
      <c r="C396" s="70"/>
      <c r="D396" s="131"/>
      <c r="E396" s="70"/>
      <c r="F396" s="70"/>
      <c r="G396" s="105"/>
      <c r="H396" s="70"/>
      <c r="I396" s="70"/>
      <c r="J396" s="3"/>
      <c r="K396" s="3"/>
      <c r="L396" s="3"/>
      <c r="M396" s="3"/>
      <c r="N396" s="70"/>
      <c r="O396" s="3"/>
      <c r="P396" s="3">
        <f t="shared" si="1"/>
        <v>0</v>
      </c>
      <c r="Q396" s="25">
        <f t="shared" si="2"/>
        <v>0</v>
      </c>
      <c r="R396" s="3"/>
      <c r="S396" s="1"/>
      <c r="T396" s="1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1"/>
      <c r="AJ396" s="3"/>
      <c r="AK396" s="1"/>
      <c r="AL396" s="3"/>
      <c r="AM396" s="81"/>
      <c r="AN396" s="81"/>
      <c r="AO396" s="81"/>
      <c r="AP396" s="81"/>
      <c r="AQ396" s="81"/>
      <c r="AR396" s="81"/>
      <c r="AS396" s="81"/>
      <c r="AT396" s="81"/>
      <c r="AU396" s="81"/>
      <c r="AV396" s="81"/>
      <c r="AW396" s="81"/>
      <c r="AX396" s="81"/>
      <c r="AY396" s="81"/>
      <c r="AZ396" s="81"/>
      <c r="BA396" s="81"/>
      <c r="BB396" s="81"/>
    </row>
    <row r="397">
      <c r="A397" s="3"/>
      <c r="B397" s="3"/>
      <c r="C397" s="70"/>
      <c r="D397" s="70"/>
      <c r="E397" s="70"/>
      <c r="F397" s="70"/>
      <c r="G397" s="70"/>
      <c r="H397" s="70"/>
      <c r="I397" s="70"/>
      <c r="J397" s="3"/>
      <c r="K397" s="3"/>
      <c r="L397" s="3"/>
      <c r="M397" s="3"/>
      <c r="N397" s="70"/>
      <c r="O397" s="3"/>
      <c r="P397" s="3">
        <f t="shared" si="1"/>
        <v>0</v>
      </c>
      <c r="Q397" s="25">
        <f t="shared" si="2"/>
        <v>0</v>
      </c>
      <c r="R397" s="3"/>
      <c r="S397" s="1"/>
      <c r="T397" s="1"/>
      <c r="U397" s="1"/>
      <c r="V397" s="3"/>
      <c r="W397" s="3"/>
      <c r="X397" s="1"/>
      <c r="Y397" s="1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81"/>
      <c r="AN397" s="81"/>
      <c r="AO397" s="81"/>
      <c r="AP397" s="81"/>
      <c r="AQ397" s="81"/>
      <c r="AR397" s="81"/>
      <c r="AS397" s="81"/>
      <c r="AT397" s="81"/>
      <c r="AU397" s="81"/>
      <c r="AV397" s="81"/>
      <c r="AW397" s="81"/>
      <c r="AX397" s="81"/>
      <c r="AY397" s="81"/>
      <c r="AZ397" s="81"/>
      <c r="BA397" s="81"/>
      <c r="BB397" s="81"/>
    </row>
    <row r="398">
      <c r="A398" s="3"/>
      <c r="B398" s="3"/>
      <c r="C398" s="70"/>
      <c r="D398" s="70"/>
      <c r="E398" s="70"/>
      <c r="F398" s="70"/>
      <c r="G398" s="70"/>
      <c r="H398" s="70"/>
      <c r="I398" s="70"/>
      <c r="J398" s="1"/>
      <c r="K398" s="3"/>
      <c r="L398" s="3"/>
      <c r="M398" s="3"/>
      <c r="N398" s="70"/>
      <c r="O398" s="3"/>
      <c r="P398" s="3">
        <f t="shared" si="1"/>
        <v>0</v>
      </c>
      <c r="Q398" s="25">
        <f t="shared" si="2"/>
        <v>0</v>
      </c>
      <c r="R398" s="3"/>
      <c r="S398" s="1"/>
      <c r="T398" s="1"/>
      <c r="U398" s="1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81"/>
      <c r="AN398" s="81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</row>
    <row r="399">
      <c r="A399" s="3"/>
      <c r="B399" s="3"/>
      <c r="C399" s="70"/>
      <c r="D399" s="70"/>
      <c r="E399" s="70"/>
      <c r="F399" s="70"/>
      <c r="G399" s="70"/>
      <c r="H399" s="70"/>
      <c r="I399" s="70"/>
      <c r="J399" s="3"/>
      <c r="K399" s="3"/>
      <c r="L399" s="3"/>
      <c r="M399" s="3"/>
      <c r="N399" s="70"/>
      <c r="O399" s="3"/>
      <c r="P399" s="3">
        <f t="shared" si="1"/>
        <v>0</v>
      </c>
      <c r="Q399" s="25">
        <f t="shared" si="2"/>
        <v>0</v>
      </c>
      <c r="R399" s="3"/>
      <c r="S399" s="1"/>
      <c r="T399" s="1"/>
      <c r="U399" s="1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81"/>
      <c r="AN399" s="81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</row>
    <row r="400">
      <c r="A400" s="3"/>
      <c r="B400" s="3"/>
      <c r="C400" s="70"/>
      <c r="D400" s="70"/>
      <c r="E400" s="70"/>
      <c r="F400" s="70"/>
      <c r="G400" s="70"/>
      <c r="H400" s="70"/>
      <c r="I400" s="70"/>
      <c r="J400" s="1"/>
      <c r="K400" s="3"/>
      <c r="L400" s="3"/>
      <c r="M400" s="3"/>
      <c r="N400" s="70"/>
      <c r="O400" s="3"/>
      <c r="P400" s="3">
        <f t="shared" si="1"/>
        <v>0</v>
      </c>
      <c r="Q400" s="25">
        <f t="shared" si="2"/>
        <v>0</v>
      </c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81"/>
      <c r="AN400" s="81"/>
      <c r="AO400" s="81"/>
      <c r="AP400" s="81"/>
      <c r="AQ400" s="81"/>
      <c r="AR400" s="81"/>
      <c r="AS400" s="81"/>
      <c r="AT400" s="81"/>
      <c r="AU400" s="81"/>
      <c r="AV400" s="81"/>
      <c r="AW400" s="81"/>
      <c r="AX400" s="81"/>
      <c r="AY400" s="81"/>
      <c r="AZ400" s="81"/>
      <c r="BA400" s="81"/>
      <c r="BB400" s="81"/>
    </row>
    <row r="401">
      <c r="A401" s="1"/>
      <c r="B401" s="3"/>
      <c r="C401" s="70"/>
      <c r="D401" s="140"/>
      <c r="E401" s="70"/>
      <c r="F401" s="70"/>
      <c r="G401" s="70"/>
      <c r="H401" s="70"/>
      <c r="I401" s="70"/>
      <c r="J401" s="1"/>
      <c r="K401" s="3"/>
      <c r="L401" s="3"/>
      <c r="M401" s="3"/>
      <c r="N401" s="70"/>
      <c r="O401" s="3"/>
      <c r="P401" s="3">
        <f t="shared" si="1"/>
        <v>0</v>
      </c>
      <c r="Q401" s="25">
        <f t="shared" si="2"/>
        <v>0</v>
      </c>
      <c r="R401" s="1"/>
      <c r="S401" s="1"/>
      <c r="T401" s="1"/>
      <c r="U401" s="1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81"/>
      <c r="AN401" s="81"/>
      <c r="AO401" s="8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81"/>
    </row>
    <row r="402">
      <c r="A402" s="3"/>
      <c r="B402" s="3"/>
      <c r="C402" s="70"/>
      <c r="D402" s="70"/>
      <c r="E402" s="70"/>
      <c r="F402" s="70"/>
      <c r="G402" s="70"/>
      <c r="H402" s="70"/>
      <c r="I402" s="70"/>
      <c r="J402" s="1"/>
      <c r="K402" s="3"/>
      <c r="L402" s="3"/>
      <c r="M402" s="3"/>
      <c r="N402" s="70"/>
      <c r="O402" s="1"/>
      <c r="P402" s="3">
        <f t="shared" si="1"/>
        <v>0</v>
      </c>
      <c r="Q402" s="25">
        <f t="shared" si="2"/>
        <v>0</v>
      </c>
      <c r="R402" s="3"/>
      <c r="S402" s="1"/>
      <c r="T402" s="1"/>
      <c r="U402" s="1"/>
      <c r="V402" s="1"/>
      <c r="W402" s="1"/>
      <c r="X402" s="1"/>
      <c r="Y402" s="1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81"/>
      <c r="AN402" s="81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</row>
    <row r="403">
      <c r="A403" s="1"/>
      <c r="B403" s="3"/>
      <c r="C403" s="70"/>
      <c r="D403" s="131"/>
      <c r="E403" s="70"/>
      <c r="F403" s="70"/>
      <c r="G403" s="70"/>
      <c r="H403" s="70"/>
      <c r="I403" s="70"/>
      <c r="J403" s="3"/>
      <c r="K403" s="3"/>
      <c r="L403" s="3"/>
      <c r="M403" s="3"/>
      <c r="N403" s="70"/>
      <c r="O403" s="3"/>
      <c r="P403" s="3">
        <f t="shared" si="1"/>
        <v>0</v>
      </c>
      <c r="Q403" s="25">
        <f t="shared" si="2"/>
        <v>0</v>
      </c>
      <c r="R403" s="3"/>
      <c r="S403" s="1"/>
      <c r="T403" s="1"/>
      <c r="U403" s="1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81"/>
      <c r="AN403" s="81"/>
      <c r="AO403" s="81"/>
      <c r="AP403" s="81"/>
      <c r="AQ403" s="81"/>
      <c r="AR403" s="81"/>
      <c r="AS403" s="81"/>
      <c r="AT403" s="81"/>
      <c r="AU403" s="81"/>
      <c r="AV403" s="81"/>
      <c r="AW403" s="81"/>
      <c r="AX403" s="81"/>
      <c r="AY403" s="81"/>
      <c r="AZ403" s="81"/>
      <c r="BA403" s="81"/>
      <c r="BB403" s="81"/>
    </row>
    <row r="404">
      <c r="A404" s="3"/>
      <c r="B404" s="3"/>
      <c r="C404" s="70"/>
      <c r="D404" s="70"/>
      <c r="E404" s="70"/>
      <c r="F404" s="70"/>
      <c r="G404" s="70"/>
      <c r="H404" s="70"/>
      <c r="I404" s="105"/>
      <c r="J404" s="1"/>
      <c r="K404" s="3"/>
      <c r="L404" s="3"/>
      <c r="M404" s="3"/>
      <c r="N404" s="70"/>
      <c r="O404" s="3"/>
      <c r="P404" s="3">
        <f t="shared" si="1"/>
        <v>0</v>
      </c>
      <c r="Q404" s="25">
        <f t="shared" si="2"/>
        <v>0</v>
      </c>
      <c r="R404" s="1"/>
      <c r="S404" s="1"/>
      <c r="T404" s="1"/>
      <c r="U404" s="1"/>
      <c r="V404" s="3"/>
      <c r="W404" s="1"/>
      <c r="X404" s="1"/>
      <c r="Y404" s="1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81"/>
      <c r="AN404" s="81"/>
      <c r="AO404" s="8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81"/>
    </row>
    <row r="405">
      <c r="A405" s="3"/>
      <c r="B405" s="3"/>
      <c r="C405" s="70"/>
      <c r="D405" s="70"/>
      <c r="E405" s="70"/>
      <c r="F405" s="70"/>
      <c r="G405" s="70"/>
      <c r="H405" s="70"/>
      <c r="I405" s="105"/>
      <c r="J405" s="1"/>
      <c r="K405" s="3"/>
      <c r="L405" s="3"/>
      <c r="M405" s="3"/>
      <c r="N405" s="105"/>
      <c r="O405" s="3"/>
      <c r="P405" s="3"/>
      <c r="Q405" s="25"/>
      <c r="R405" s="3"/>
      <c r="S405" s="3"/>
      <c r="T405" s="3"/>
      <c r="U405" s="3"/>
      <c r="V405" s="1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81"/>
      <c r="AN405" s="81"/>
      <c r="AO405" s="81"/>
      <c r="AP405" s="81"/>
      <c r="AQ405" s="81"/>
      <c r="AR405" s="81"/>
      <c r="AS405" s="81"/>
      <c r="AT405" s="81"/>
      <c r="AU405" s="81"/>
      <c r="AV405" s="81"/>
      <c r="AW405" s="81"/>
      <c r="AX405" s="81"/>
      <c r="AY405" s="81"/>
      <c r="AZ405" s="81"/>
      <c r="BA405" s="81"/>
      <c r="BB405" s="81"/>
    </row>
    <row r="406">
      <c r="A406" s="3"/>
      <c r="B406" s="3"/>
      <c r="C406" s="70"/>
      <c r="D406" s="131"/>
      <c r="E406" s="70"/>
      <c r="F406" s="70"/>
      <c r="G406" s="70"/>
      <c r="H406" s="70"/>
      <c r="I406" s="70"/>
      <c r="J406" s="1"/>
      <c r="K406" s="3"/>
      <c r="L406" s="3"/>
      <c r="M406" s="3"/>
      <c r="N406" s="70"/>
      <c r="O406" s="3"/>
      <c r="P406" s="3"/>
      <c r="Q406" s="25"/>
      <c r="R406" s="1"/>
      <c r="S406" s="1"/>
      <c r="T406" s="1"/>
      <c r="U406" s="1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81"/>
      <c r="AN406" s="81"/>
      <c r="AO406" s="81"/>
      <c r="AP406" s="81"/>
      <c r="AQ406" s="81"/>
      <c r="AR406" s="81"/>
      <c r="AS406" s="81"/>
      <c r="AT406" s="81"/>
      <c r="AU406" s="81"/>
      <c r="AV406" s="81"/>
      <c r="AW406" s="81"/>
      <c r="AX406" s="81"/>
      <c r="AY406" s="81"/>
      <c r="AZ406" s="81"/>
      <c r="BA406" s="81"/>
      <c r="BB406" s="81"/>
    </row>
    <row r="407">
      <c r="A407" s="3"/>
      <c r="B407" s="3"/>
      <c r="C407" s="70"/>
      <c r="D407" s="140"/>
      <c r="E407" s="70"/>
      <c r="F407" s="70"/>
      <c r="G407" s="70"/>
      <c r="H407" s="70"/>
      <c r="I407" s="70"/>
      <c r="J407" s="1"/>
      <c r="K407" s="3"/>
      <c r="L407" s="3"/>
      <c r="M407" s="3"/>
      <c r="N407" s="105"/>
      <c r="O407" s="3"/>
      <c r="P407" s="3"/>
      <c r="Q407" s="25"/>
      <c r="R407" s="3"/>
      <c r="S407" s="1"/>
      <c r="T407" s="1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81"/>
      <c r="AN407" s="81"/>
      <c r="AO407" s="81"/>
      <c r="AP407" s="81"/>
      <c r="AQ407" s="81"/>
      <c r="AR407" s="81"/>
      <c r="AS407" s="81"/>
      <c r="AT407" s="81"/>
      <c r="AU407" s="81"/>
      <c r="AV407" s="81"/>
      <c r="AW407" s="81"/>
      <c r="AX407" s="81"/>
      <c r="AY407" s="81"/>
      <c r="AZ407" s="81"/>
      <c r="BA407" s="81"/>
      <c r="BB407" s="81"/>
    </row>
    <row r="408">
      <c r="A408" s="3"/>
      <c r="B408" s="3"/>
      <c r="C408" s="70"/>
      <c r="D408" s="70"/>
      <c r="E408" s="70"/>
      <c r="F408" s="70"/>
      <c r="G408" s="70"/>
      <c r="H408" s="70"/>
      <c r="I408" s="70"/>
      <c r="J408" s="1"/>
      <c r="K408" s="3"/>
      <c r="L408" s="3"/>
      <c r="M408" s="3"/>
      <c r="N408" s="70"/>
      <c r="O408" s="3"/>
      <c r="P408" s="3"/>
      <c r="Q408" s="25"/>
      <c r="R408" s="3"/>
      <c r="S408" s="1"/>
      <c r="T408" s="1"/>
      <c r="U408" s="1"/>
      <c r="V408" s="3"/>
      <c r="W408" s="3"/>
      <c r="X408" s="1"/>
      <c r="Y408" s="1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81"/>
      <c r="AN408" s="81"/>
      <c r="AO408" s="81"/>
      <c r="AP408" s="81"/>
      <c r="AQ408" s="81"/>
      <c r="AR408" s="81"/>
      <c r="AS408" s="81"/>
      <c r="AT408" s="81"/>
      <c r="AU408" s="81"/>
      <c r="AV408" s="81"/>
      <c r="AW408" s="81"/>
      <c r="AX408" s="81"/>
      <c r="AY408" s="81"/>
      <c r="AZ408" s="81"/>
      <c r="BA408" s="81"/>
      <c r="BB408" s="81"/>
    </row>
    <row r="409">
      <c r="A409" s="3"/>
      <c r="B409" s="3"/>
      <c r="C409" s="70"/>
      <c r="D409" s="140"/>
      <c r="E409" s="70"/>
      <c r="F409" s="70"/>
      <c r="G409" s="70"/>
      <c r="H409" s="70"/>
      <c r="I409" s="105"/>
      <c r="J409" s="1"/>
      <c r="K409" s="3"/>
      <c r="L409" s="3"/>
      <c r="M409" s="3"/>
      <c r="N409" s="70"/>
      <c r="O409" s="3"/>
      <c r="P409" s="3"/>
      <c r="Q409" s="25"/>
      <c r="R409" s="1"/>
      <c r="S409" s="1"/>
      <c r="T409" s="1"/>
      <c r="U409" s="1"/>
      <c r="V409" s="1"/>
      <c r="W409" s="1"/>
      <c r="X409" s="1"/>
      <c r="Y409" s="1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81"/>
      <c r="AN409" s="81"/>
      <c r="AO409" s="81"/>
      <c r="AP409" s="81"/>
      <c r="AQ409" s="81"/>
      <c r="AR409" s="81"/>
      <c r="AS409" s="81"/>
      <c r="AT409" s="81"/>
      <c r="AU409" s="81"/>
      <c r="AV409" s="81"/>
      <c r="AW409" s="81"/>
      <c r="AX409" s="81"/>
      <c r="AY409" s="81"/>
      <c r="AZ409" s="81"/>
      <c r="BA409" s="81"/>
      <c r="BB409" s="81"/>
    </row>
    <row r="410">
      <c r="A410" s="3"/>
      <c r="B410" s="3"/>
      <c r="C410" s="70"/>
      <c r="D410" s="140"/>
      <c r="E410" s="70"/>
      <c r="F410" s="70"/>
      <c r="G410" s="70"/>
      <c r="H410" s="70"/>
      <c r="I410" s="70"/>
      <c r="J410" s="3"/>
      <c r="K410" s="3"/>
      <c r="L410" s="3"/>
      <c r="M410" s="3"/>
      <c r="N410" s="70"/>
      <c r="O410" s="3"/>
      <c r="P410" s="3"/>
      <c r="Q410" s="25"/>
      <c r="R410" s="3"/>
      <c r="S410" s="1"/>
      <c r="T410" s="1"/>
      <c r="U410" s="1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81"/>
      <c r="AN410" s="81"/>
      <c r="AO410" s="81"/>
      <c r="AP410" s="81"/>
      <c r="AQ410" s="81"/>
      <c r="AR410" s="81"/>
      <c r="AS410" s="81"/>
      <c r="AT410" s="81"/>
      <c r="AU410" s="81"/>
      <c r="AV410" s="81"/>
      <c r="AW410" s="81"/>
      <c r="AX410" s="81"/>
      <c r="AY410" s="81"/>
      <c r="AZ410" s="81"/>
      <c r="BA410" s="81"/>
      <c r="BB410" s="81"/>
    </row>
    <row r="411">
      <c r="A411" s="3"/>
      <c r="B411" s="3"/>
      <c r="C411" s="70"/>
      <c r="D411" s="70"/>
      <c r="E411" s="70"/>
      <c r="F411" s="70"/>
      <c r="G411" s="70"/>
      <c r="H411" s="70"/>
      <c r="I411" s="70"/>
      <c r="J411" s="1"/>
      <c r="K411" s="3"/>
      <c r="L411" s="3"/>
      <c r="M411" s="3"/>
      <c r="N411" s="70"/>
      <c r="O411" s="3"/>
      <c r="P411" s="3"/>
      <c r="Q411" s="25"/>
      <c r="R411" s="3"/>
      <c r="S411" s="1"/>
      <c r="T411" s="1"/>
      <c r="U411" s="1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81"/>
      <c r="AN411" s="81"/>
      <c r="AO411" s="81"/>
      <c r="AP411" s="81"/>
      <c r="AQ411" s="81"/>
      <c r="AR411" s="81"/>
      <c r="AS411" s="81"/>
      <c r="AT411" s="81"/>
      <c r="AU411" s="81"/>
      <c r="AV411" s="81"/>
      <c r="AW411" s="81"/>
      <c r="AX411" s="81"/>
      <c r="AY411" s="81"/>
      <c r="AZ411" s="81"/>
      <c r="BA411" s="81"/>
      <c r="BB411" s="81"/>
    </row>
    <row r="412">
      <c r="A412" s="3"/>
      <c r="B412" s="3"/>
      <c r="C412" s="70"/>
      <c r="D412" s="70"/>
      <c r="E412" s="70"/>
      <c r="F412" s="70"/>
      <c r="G412" s="70"/>
      <c r="H412" s="70"/>
      <c r="I412" s="70"/>
      <c r="J412" s="3"/>
      <c r="K412" s="3"/>
      <c r="L412" s="3"/>
      <c r="M412" s="3"/>
      <c r="N412" s="70"/>
      <c r="O412" s="3"/>
      <c r="P412" s="3"/>
      <c r="Q412" s="25"/>
      <c r="R412" s="3"/>
      <c r="S412" s="1"/>
      <c r="T412" s="1"/>
      <c r="U412" s="1"/>
      <c r="V412" s="3"/>
      <c r="W412" s="3"/>
      <c r="X412" s="1"/>
      <c r="Y412" s="1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81"/>
      <c r="AN412" s="81"/>
      <c r="AO412" s="81"/>
      <c r="AP412" s="81"/>
      <c r="AQ412" s="81"/>
      <c r="AR412" s="81"/>
      <c r="AS412" s="81"/>
      <c r="AT412" s="81"/>
      <c r="AU412" s="81"/>
      <c r="AV412" s="81"/>
      <c r="AW412" s="81"/>
      <c r="AX412" s="81"/>
      <c r="AY412" s="81"/>
      <c r="AZ412" s="81"/>
      <c r="BA412" s="81"/>
      <c r="BB412" s="81"/>
    </row>
    <row r="413">
      <c r="A413" s="3"/>
      <c r="B413" s="3"/>
      <c r="C413" s="70"/>
      <c r="D413" s="131"/>
      <c r="E413" s="70"/>
      <c r="F413" s="70"/>
      <c r="G413" s="70"/>
      <c r="H413" s="70"/>
      <c r="I413" s="70"/>
      <c r="J413" s="1"/>
      <c r="K413" s="3"/>
      <c r="L413" s="3"/>
      <c r="M413" s="3"/>
      <c r="N413" s="70"/>
      <c r="O413" s="3"/>
      <c r="P413" s="3"/>
      <c r="Q413" s="25"/>
      <c r="R413" s="3"/>
      <c r="S413" s="1"/>
      <c r="T413" s="1"/>
      <c r="U413" s="1"/>
      <c r="V413" s="3"/>
      <c r="W413" s="3"/>
      <c r="X413" s="1"/>
      <c r="Y413" s="1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81"/>
      <c r="AN413" s="81"/>
      <c r="AO413" s="81"/>
      <c r="AP413" s="81"/>
      <c r="AQ413" s="81"/>
      <c r="AR413" s="81"/>
      <c r="AS413" s="81"/>
      <c r="AT413" s="81"/>
      <c r="AU413" s="81"/>
      <c r="AV413" s="81"/>
      <c r="AW413" s="81"/>
      <c r="AX413" s="81"/>
      <c r="AY413" s="81"/>
      <c r="AZ413" s="81"/>
      <c r="BA413" s="81"/>
      <c r="BB413" s="81"/>
    </row>
    <row r="414">
      <c r="A414" s="1"/>
      <c r="B414" s="3"/>
      <c r="C414" s="70"/>
      <c r="D414" s="70"/>
      <c r="E414" s="70"/>
      <c r="F414" s="70"/>
      <c r="G414" s="70"/>
      <c r="H414" s="70"/>
      <c r="I414" s="105"/>
      <c r="J414" s="1"/>
      <c r="K414" s="1"/>
      <c r="L414" s="3"/>
      <c r="M414" s="3"/>
      <c r="N414" s="70"/>
      <c r="O414" s="3"/>
      <c r="P414" s="3"/>
      <c r="Q414" s="25"/>
      <c r="R414" s="1"/>
      <c r="S414" s="1"/>
      <c r="T414" s="1"/>
      <c r="U414" s="1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81"/>
      <c r="AN414" s="81"/>
      <c r="AO414" s="81"/>
      <c r="AP414" s="81"/>
      <c r="AQ414" s="81"/>
      <c r="AR414" s="81"/>
      <c r="AS414" s="81"/>
      <c r="AT414" s="81"/>
      <c r="AU414" s="81"/>
      <c r="AV414" s="81"/>
      <c r="AW414" s="81"/>
      <c r="AX414" s="81"/>
      <c r="AY414" s="81"/>
      <c r="AZ414" s="81"/>
      <c r="BA414" s="81"/>
      <c r="BB414" s="81"/>
    </row>
    <row r="415">
      <c r="A415" s="3"/>
      <c r="B415" s="3"/>
      <c r="C415" s="70"/>
      <c r="D415" s="140"/>
      <c r="E415" s="70"/>
      <c r="F415" s="70"/>
      <c r="G415" s="70"/>
      <c r="H415" s="70"/>
      <c r="I415" s="70"/>
      <c r="J415" s="1"/>
      <c r="K415" s="3"/>
      <c r="L415" s="3"/>
      <c r="M415" s="3"/>
      <c r="N415" s="70"/>
      <c r="O415" s="3"/>
      <c r="P415" s="3"/>
      <c r="Q415" s="25"/>
      <c r="R415" s="1"/>
      <c r="S415" s="1"/>
      <c r="T415" s="1"/>
      <c r="U415" s="1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81"/>
      <c r="AN415" s="81"/>
      <c r="AO415" s="81"/>
      <c r="AP415" s="81"/>
      <c r="AQ415" s="81"/>
      <c r="AR415" s="81"/>
      <c r="AS415" s="81"/>
      <c r="AT415" s="81"/>
      <c r="AU415" s="81"/>
      <c r="AV415" s="81"/>
      <c r="AW415" s="81"/>
      <c r="AX415" s="81"/>
      <c r="AY415" s="81"/>
      <c r="AZ415" s="81"/>
      <c r="BA415" s="81"/>
      <c r="BB415" s="81"/>
    </row>
    <row r="416">
      <c r="A416" s="3"/>
      <c r="B416" s="3"/>
      <c r="C416" s="70"/>
      <c r="D416" s="70"/>
      <c r="E416" s="70"/>
      <c r="F416" s="70"/>
      <c r="G416" s="70"/>
      <c r="H416" s="70"/>
      <c r="I416" s="70"/>
      <c r="J416" s="1"/>
      <c r="K416" s="3"/>
      <c r="L416" s="3"/>
      <c r="M416" s="3"/>
      <c r="N416" s="70"/>
      <c r="O416" s="3"/>
      <c r="P416" s="3"/>
      <c r="Q416" s="25"/>
      <c r="R416" s="1"/>
      <c r="S416" s="1"/>
      <c r="T416" s="1"/>
      <c r="U416" s="1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81"/>
      <c r="AN416" s="81"/>
      <c r="AO416" s="81"/>
      <c r="AP416" s="81"/>
      <c r="AQ416" s="81"/>
      <c r="AR416" s="81"/>
      <c r="AS416" s="81"/>
      <c r="AT416" s="81"/>
      <c r="AU416" s="81"/>
      <c r="AV416" s="81"/>
      <c r="AW416" s="81"/>
      <c r="AX416" s="81"/>
      <c r="AY416" s="81"/>
      <c r="AZ416" s="81"/>
      <c r="BA416" s="81"/>
      <c r="BB416" s="81"/>
    </row>
    <row r="417">
      <c r="A417" s="3"/>
      <c r="B417" s="3"/>
      <c r="C417" s="70"/>
      <c r="D417" s="70"/>
      <c r="E417" s="70"/>
      <c r="F417" s="70"/>
      <c r="G417" s="70"/>
      <c r="H417" s="70"/>
      <c r="I417" s="70"/>
      <c r="J417" s="1"/>
      <c r="K417" s="3"/>
      <c r="L417" s="3"/>
      <c r="M417" s="3"/>
      <c r="N417" s="70"/>
      <c r="O417" s="3"/>
      <c r="P417" s="3"/>
      <c r="Q417" s="25"/>
      <c r="R417" s="1"/>
      <c r="S417" s="1"/>
      <c r="T417" s="1"/>
      <c r="U417" s="1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81"/>
      <c r="AN417" s="81"/>
      <c r="AO417" s="81"/>
      <c r="AP417" s="81"/>
      <c r="AQ417" s="81"/>
      <c r="AR417" s="81"/>
      <c r="AS417" s="81"/>
      <c r="AT417" s="81"/>
      <c r="AU417" s="81"/>
      <c r="AV417" s="81"/>
      <c r="AW417" s="81"/>
      <c r="AX417" s="81"/>
      <c r="AY417" s="81"/>
      <c r="AZ417" s="81"/>
      <c r="BA417" s="81"/>
      <c r="BB417" s="81"/>
    </row>
    <row r="418">
      <c r="A418" s="3"/>
      <c r="B418" s="3"/>
      <c r="C418" s="70"/>
      <c r="D418" s="140"/>
      <c r="E418" s="70"/>
      <c r="F418" s="70"/>
      <c r="G418" s="70"/>
      <c r="H418" s="70"/>
      <c r="I418" s="70"/>
      <c r="J418" s="1"/>
      <c r="K418" s="3"/>
      <c r="L418" s="3"/>
      <c r="M418" s="3"/>
      <c r="N418" s="70"/>
      <c r="O418" s="3"/>
      <c r="P418" s="3"/>
      <c r="Q418" s="25"/>
      <c r="R418" s="3"/>
      <c r="S418" s="1"/>
      <c r="T418" s="1"/>
      <c r="U418" s="1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81"/>
      <c r="AN418" s="81"/>
      <c r="AO418" s="81"/>
      <c r="AP418" s="81"/>
      <c r="AQ418" s="81"/>
      <c r="AR418" s="81"/>
      <c r="AS418" s="81"/>
      <c r="AT418" s="81"/>
      <c r="AU418" s="81"/>
      <c r="AV418" s="81"/>
      <c r="AW418" s="81"/>
      <c r="AX418" s="81"/>
      <c r="AY418" s="81"/>
      <c r="AZ418" s="81"/>
      <c r="BA418" s="81"/>
      <c r="BB418" s="81"/>
    </row>
    <row r="419">
      <c r="A419" s="3"/>
      <c r="B419" s="3"/>
      <c r="C419" s="70"/>
      <c r="D419" s="70"/>
      <c r="E419" s="70"/>
      <c r="F419" s="70"/>
      <c r="G419" s="70"/>
      <c r="H419" s="70"/>
      <c r="I419" s="70"/>
      <c r="J419" s="1"/>
      <c r="K419" s="3"/>
      <c r="L419" s="3"/>
      <c r="M419" s="3"/>
      <c r="N419" s="70"/>
      <c r="O419" s="3"/>
      <c r="P419" s="3"/>
      <c r="Q419" s="25"/>
      <c r="R419" s="1"/>
      <c r="S419" s="1"/>
      <c r="T419" s="1"/>
      <c r="U419" s="1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81"/>
      <c r="AN419" s="81"/>
      <c r="AO419" s="81"/>
      <c r="AP419" s="81"/>
      <c r="AQ419" s="81"/>
      <c r="AR419" s="81"/>
      <c r="AS419" s="81"/>
      <c r="AT419" s="81"/>
      <c r="AU419" s="81"/>
      <c r="AV419" s="81"/>
      <c r="AW419" s="81"/>
      <c r="AX419" s="81"/>
      <c r="AY419" s="81"/>
      <c r="AZ419" s="81"/>
      <c r="BA419" s="81"/>
      <c r="BB419" s="81"/>
    </row>
    <row r="420">
      <c r="A420" s="3"/>
      <c r="B420" s="3"/>
      <c r="C420" s="70"/>
      <c r="D420" s="141"/>
      <c r="E420" s="70"/>
      <c r="F420" s="70"/>
      <c r="G420" s="70"/>
      <c r="H420" s="70"/>
      <c r="I420" s="105"/>
      <c r="J420" s="1"/>
      <c r="K420" s="3"/>
      <c r="L420" s="3"/>
      <c r="M420" s="3"/>
      <c r="N420" s="70"/>
      <c r="O420" s="3"/>
      <c r="P420" s="3"/>
      <c r="Q420" s="25"/>
      <c r="R420" s="3"/>
      <c r="S420" s="1"/>
      <c r="T420" s="1"/>
      <c r="U420" s="1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81"/>
      <c r="AN420" s="81"/>
      <c r="AO420" s="81"/>
      <c r="AP420" s="81"/>
      <c r="AQ420" s="81"/>
      <c r="AR420" s="81"/>
      <c r="AS420" s="81"/>
      <c r="AT420" s="81"/>
      <c r="AU420" s="81"/>
      <c r="AV420" s="81"/>
      <c r="AW420" s="81"/>
      <c r="AX420" s="81"/>
      <c r="AY420" s="81"/>
      <c r="AZ420" s="81"/>
      <c r="BA420" s="81"/>
      <c r="BB420" s="81"/>
    </row>
    <row r="421">
      <c r="A421" s="3"/>
      <c r="B421" s="3"/>
      <c r="C421" s="70"/>
      <c r="D421" s="140"/>
      <c r="E421" s="70"/>
      <c r="F421" s="70"/>
      <c r="G421" s="70"/>
      <c r="H421" s="70"/>
      <c r="I421" s="70"/>
      <c r="J421" s="1"/>
      <c r="K421" s="3"/>
      <c r="L421" s="3"/>
      <c r="M421" s="3"/>
      <c r="N421" s="70"/>
      <c r="O421" s="3"/>
      <c r="P421" s="3"/>
      <c r="Q421" s="25"/>
      <c r="R421" s="3"/>
      <c r="S421" s="1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81"/>
      <c r="AN421" s="81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</row>
    <row r="422">
      <c r="A422" s="3"/>
      <c r="B422" s="3"/>
      <c r="C422" s="70"/>
      <c r="D422" s="131"/>
      <c r="E422" s="70"/>
      <c r="F422" s="70"/>
      <c r="G422" s="70"/>
      <c r="H422" s="70"/>
      <c r="I422" s="70"/>
      <c r="J422" s="1"/>
      <c r="K422" s="3"/>
      <c r="L422" s="3"/>
      <c r="M422" s="3"/>
      <c r="N422" s="70"/>
      <c r="O422" s="3"/>
      <c r="P422" s="3"/>
      <c r="Q422" s="25"/>
      <c r="R422" s="3"/>
      <c r="S422" s="1"/>
      <c r="T422" s="1"/>
      <c r="U422" s="1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81"/>
      <c r="AN422" s="81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</row>
    <row r="423">
      <c r="A423" s="3"/>
      <c r="B423" s="3"/>
      <c r="C423" s="70"/>
      <c r="D423" s="131"/>
      <c r="E423" s="70"/>
      <c r="F423" s="70"/>
      <c r="G423" s="70"/>
      <c r="H423" s="70"/>
      <c r="I423" s="70"/>
      <c r="J423" s="3"/>
      <c r="K423" s="3"/>
      <c r="L423" s="3"/>
      <c r="M423" s="3"/>
      <c r="N423" s="70"/>
      <c r="O423" s="3"/>
      <c r="P423" s="3"/>
      <c r="Q423" s="25"/>
      <c r="R423" s="3"/>
      <c r="S423" s="3"/>
      <c r="T423" s="3"/>
      <c r="U423" s="1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81"/>
      <c r="AN423" s="81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</row>
    <row r="424">
      <c r="A424" s="3"/>
      <c r="B424" s="1"/>
      <c r="C424" s="70"/>
      <c r="D424" s="70"/>
      <c r="E424" s="105"/>
      <c r="F424" s="70"/>
      <c r="G424" s="70"/>
      <c r="H424" s="70"/>
      <c r="I424" s="70"/>
      <c r="J424" s="1"/>
      <c r="K424" s="3"/>
      <c r="L424" s="3"/>
      <c r="M424" s="3"/>
      <c r="N424" s="70"/>
      <c r="O424" s="3"/>
      <c r="P424" s="3"/>
      <c r="Q424" s="25"/>
      <c r="R424" s="1"/>
      <c r="S424" s="3"/>
      <c r="T424" s="3"/>
      <c r="U424" s="3"/>
      <c r="V424" s="3"/>
      <c r="W424" s="1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81"/>
      <c r="AN424" s="81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</row>
    <row r="425">
      <c r="A425" s="3"/>
      <c r="B425" s="3"/>
      <c r="C425" s="70"/>
      <c r="D425" s="131"/>
      <c r="E425" s="70"/>
      <c r="F425" s="70"/>
      <c r="G425" s="70"/>
      <c r="H425" s="70"/>
      <c r="I425" s="70"/>
      <c r="J425" s="3"/>
      <c r="K425" s="3"/>
      <c r="L425" s="3"/>
      <c r="M425" s="3"/>
      <c r="N425" s="70"/>
      <c r="O425" s="3"/>
      <c r="P425" s="3"/>
      <c r="Q425" s="25"/>
      <c r="R425" s="3"/>
      <c r="S425" s="1"/>
      <c r="T425" s="1"/>
      <c r="U425" s="1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81"/>
      <c r="AN425" s="81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</row>
    <row r="426">
      <c r="A426" s="3"/>
      <c r="B426" s="3"/>
      <c r="C426" s="70"/>
      <c r="D426" s="70"/>
      <c r="E426" s="70"/>
      <c r="F426" s="70"/>
      <c r="G426" s="70"/>
      <c r="H426" s="70"/>
      <c r="I426" s="70"/>
      <c r="J426" s="3"/>
      <c r="K426" s="3"/>
      <c r="L426" s="3"/>
      <c r="M426" s="3"/>
      <c r="N426" s="70"/>
      <c r="O426" s="3"/>
      <c r="P426" s="3"/>
      <c r="Q426" s="25"/>
      <c r="R426" s="3"/>
      <c r="S426" s="1"/>
      <c r="T426" s="1"/>
      <c r="U426" s="1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</row>
    <row r="427">
      <c r="A427" s="3"/>
      <c r="B427" s="3"/>
      <c r="C427" s="70"/>
      <c r="D427" s="70"/>
      <c r="E427" s="70"/>
      <c r="F427" s="70"/>
      <c r="G427" s="70"/>
      <c r="H427" s="70"/>
      <c r="I427" s="70"/>
      <c r="J427" s="1"/>
      <c r="K427" s="3"/>
      <c r="L427" s="3"/>
      <c r="M427" s="3"/>
      <c r="N427" s="70"/>
      <c r="O427" s="3"/>
      <c r="P427" s="3"/>
      <c r="Q427" s="25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</row>
    <row r="428">
      <c r="A428" s="3"/>
      <c r="B428" s="3"/>
      <c r="C428" s="70"/>
      <c r="D428" s="70"/>
      <c r="E428" s="70"/>
      <c r="F428" s="70"/>
      <c r="G428" s="70"/>
      <c r="H428" s="70"/>
      <c r="I428" s="70"/>
      <c r="J428" s="1"/>
      <c r="K428" s="3"/>
      <c r="L428" s="3"/>
      <c r="M428" s="3"/>
      <c r="N428" s="70"/>
      <c r="O428" s="3"/>
      <c r="P428" s="3"/>
      <c r="Q428" s="25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81"/>
      <c r="AN428" s="81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</row>
    <row r="429">
      <c r="A429" s="3"/>
      <c r="B429" s="3"/>
      <c r="C429" s="70"/>
      <c r="D429" s="70"/>
      <c r="E429" s="70"/>
      <c r="F429" s="70"/>
      <c r="G429" s="70"/>
      <c r="H429" s="70"/>
      <c r="I429" s="70"/>
      <c r="J429" s="1"/>
      <c r="K429" s="3"/>
      <c r="L429" s="3"/>
      <c r="M429" s="3"/>
      <c r="N429" s="105"/>
      <c r="O429" s="1"/>
      <c r="P429" s="3"/>
      <c r="Q429" s="25"/>
      <c r="R429" s="1"/>
      <c r="S429" s="1"/>
      <c r="T429" s="3"/>
      <c r="U429" s="3"/>
      <c r="V429" s="3"/>
      <c r="W429" s="1"/>
      <c r="X429" s="1"/>
      <c r="Y429" s="1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81"/>
      <c r="AN429" s="81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</row>
    <row r="430">
      <c r="A430" s="3"/>
      <c r="B430" s="3"/>
      <c r="C430" s="70"/>
      <c r="D430" s="70"/>
      <c r="E430" s="70"/>
      <c r="F430" s="70"/>
      <c r="G430" s="70"/>
      <c r="H430" s="70"/>
      <c r="I430" s="70"/>
      <c r="J430" s="1"/>
      <c r="K430" s="3"/>
      <c r="L430" s="3"/>
      <c r="M430" s="3"/>
      <c r="N430" s="70"/>
      <c r="O430" s="3"/>
      <c r="P430" s="3"/>
      <c r="Q430" s="25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81"/>
      <c r="AN430" s="81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</row>
    <row r="431">
      <c r="A431" s="3"/>
      <c r="B431" s="3"/>
      <c r="C431" s="70"/>
      <c r="D431" s="70"/>
      <c r="E431" s="70"/>
      <c r="F431" s="70"/>
      <c r="G431" s="70"/>
      <c r="H431" s="70"/>
      <c r="I431" s="70"/>
      <c r="J431" s="1"/>
      <c r="K431" s="3"/>
      <c r="L431" s="3"/>
      <c r="M431" s="3"/>
      <c r="N431" s="105"/>
      <c r="O431" s="3"/>
      <c r="P431" s="3"/>
      <c r="Q431" s="25"/>
      <c r="R431" s="3"/>
      <c r="S431" s="1"/>
      <c r="T431" s="1"/>
      <c r="U431" s="1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81"/>
      <c r="AN431" s="81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</row>
    <row r="432">
      <c r="A432" s="3"/>
      <c r="B432" s="3"/>
      <c r="C432" s="70"/>
      <c r="D432" s="131"/>
      <c r="E432" s="70"/>
      <c r="F432" s="70"/>
      <c r="G432" s="70"/>
      <c r="H432" s="70"/>
      <c r="I432" s="70"/>
      <c r="J432" s="3"/>
      <c r="K432" s="3"/>
      <c r="L432" s="3"/>
      <c r="M432" s="3"/>
      <c r="N432" s="70"/>
      <c r="O432" s="3"/>
      <c r="P432" s="3"/>
      <c r="Q432" s="25"/>
      <c r="R432" s="3"/>
      <c r="S432" s="1"/>
      <c r="T432" s="1"/>
      <c r="U432" s="1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81"/>
      <c r="AN432" s="81"/>
      <c r="AO432" s="81"/>
      <c r="AP432" s="81"/>
      <c r="AQ432" s="81"/>
      <c r="AR432" s="81"/>
      <c r="AS432" s="81"/>
      <c r="AT432" s="81"/>
      <c r="AU432" s="81"/>
      <c r="AV432" s="81"/>
      <c r="AW432" s="81"/>
      <c r="AX432" s="81"/>
      <c r="AY432" s="81"/>
      <c r="AZ432" s="81"/>
      <c r="BA432" s="81"/>
      <c r="BB432" s="81"/>
    </row>
    <row r="433">
      <c r="A433" s="3"/>
      <c r="B433" s="3"/>
      <c r="C433" s="3"/>
      <c r="D433" s="131"/>
      <c r="E433" s="3"/>
      <c r="F433" s="3"/>
      <c r="G433" s="3"/>
      <c r="H433" s="3"/>
      <c r="I433" s="3"/>
      <c r="J433" s="3"/>
      <c r="K433" s="3"/>
      <c r="L433" s="3"/>
      <c r="M433" s="3"/>
      <c r="N433" s="70"/>
      <c r="O433" s="3"/>
      <c r="P433" s="3"/>
      <c r="Q433" s="25"/>
      <c r="R433" s="3"/>
      <c r="S433" s="3"/>
      <c r="T433" s="1"/>
      <c r="U433" s="1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81"/>
      <c r="AN433" s="81"/>
      <c r="AO433" s="81"/>
      <c r="AP433" s="81"/>
      <c r="AQ433" s="81"/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</row>
    <row r="434">
      <c r="A434" s="1"/>
      <c r="B434" s="3"/>
      <c r="C434" s="3"/>
      <c r="D434" s="70"/>
      <c r="E434" s="70"/>
      <c r="F434" s="3"/>
      <c r="G434" s="3"/>
      <c r="H434" s="3"/>
      <c r="I434" s="3"/>
      <c r="J434" s="1"/>
      <c r="K434" s="3"/>
      <c r="L434" s="3"/>
      <c r="M434" s="3"/>
      <c r="N434" s="70"/>
      <c r="O434" s="3"/>
      <c r="P434" s="3"/>
      <c r="Q434" s="25"/>
      <c r="R434" s="3"/>
      <c r="S434" s="1"/>
      <c r="T434" s="1"/>
      <c r="U434" s="1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81"/>
      <c r="AN434" s="81"/>
      <c r="AO434" s="81"/>
      <c r="AP434" s="81"/>
      <c r="AQ434" s="81"/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</row>
    <row r="435">
      <c r="A435" s="3"/>
      <c r="B435" s="3"/>
      <c r="C435" s="3"/>
      <c r="D435" s="131"/>
      <c r="E435" s="70"/>
      <c r="F435" s="3"/>
      <c r="G435" s="3"/>
      <c r="H435" s="3"/>
      <c r="I435" s="3"/>
      <c r="J435" s="1"/>
      <c r="K435" s="3"/>
      <c r="L435" s="3"/>
      <c r="M435" s="3"/>
      <c r="N435" s="70"/>
      <c r="O435" s="3"/>
      <c r="P435" s="3"/>
      <c r="Q435" s="25"/>
      <c r="R435" s="3"/>
      <c r="S435" s="1"/>
      <c r="T435" s="1"/>
      <c r="U435" s="1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81"/>
      <c r="AN435" s="81"/>
      <c r="AO435" s="81"/>
      <c r="AP435" s="81"/>
      <c r="AQ435" s="81"/>
      <c r="AR435" s="81"/>
      <c r="AS435" s="81"/>
      <c r="AT435" s="81"/>
      <c r="AU435" s="81"/>
      <c r="AV435" s="81"/>
      <c r="AW435" s="81"/>
      <c r="AX435" s="81"/>
      <c r="AY435" s="81"/>
      <c r="AZ435" s="81"/>
      <c r="BA435" s="81"/>
      <c r="BB435" s="81"/>
    </row>
    <row r="436">
      <c r="A436" s="3"/>
      <c r="B436" s="3"/>
      <c r="C436" s="3"/>
      <c r="D436" s="130"/>
      <c r="E436" s="70"/>
      <c r="F436" s="3"/>
      <c r="G436" s="3"/>
      <c r="H436" s="3"/>
      <c r="I436" s="3"/>
      <c r="J436" s="1"/>
      <c r="K436" s="3"/>
      <c r="L436" s="3"/>
      <c r="M436" s="3"/>
      <c r="N436" s="105"/>
      <c r="O436" s="1"/>
      <c r="P436" s="3"/>
      <c r="Q436" s="25"/>
      <c r="R436" s="1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107"/>
      <c r="AN436" s="81"/>
      <c r="AO436" s="81"/>
      <c r="AP436" s="81"/>
      <c r="AQ436" s="81"/>
      <c r="AR436" s="81"/>
      <c r="AS436" s="81"/>
      <c r="AT436" s="81"/>
      <c r="AU436" s="81"/>
      <c r="AV436" s="81"/>
      <c r="AW436" s="81"/>
      <c r="AX436" s="81"/>
      <c r="AY436" s="81"/>
      <c r="AZ436" s="81"/>
      <c r="BA436" s="81"/>
      <c r="BB436" s="81"/>
    </row>
    <row r="437">
      <c r="A437" s="3"/>
      <c r="B437" s="3"/>
      <c r="C437" s="3"/>
      <c r="D437" s="131"/>
      <c r="E437" s="70"/>
      <c r="F437" s="1"/>
      <c r="G437" s="3"/>
      <c r="H437" s="3"/>
      <c r="I437" s="3"/>
      <c r="J437" s="1"/>
      <c r="K437" s="3"/>
      <c r="L437" s="3"/>
      <c r="M437" s="3"/>
      <c r="N437" s="70"/>
      <c r="O437" s="3"/>
      <c r="P437" s="3"/>
      <c r="Q437" s="25"/>
      <c r="R437" s="3"/>
      <c r="S437" s="1"/>
      <c r="T437" s="1"/>
      <c r="U437" s="1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81"/>
      <c r="AN437" s="81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</row>
    <row r="438">
      <c r="A438" s="3"/>
      <c r="B438" s="3"/>
      <c r="C438" s="3"/>
      <c r="D438" s="70"/>
      <c r="E438" s="70"/>
      <c r="F438" s="3"/>
      <c r="G438" s="3"/>
      <c r="H438" s="3"/>
      <c r="I438" s="3"/>
      <c r="J438" s="3"/>
      <c r="K438" s="3"/>
      <c r="L438" s="3"/>
      <c r="M438" s="3"/>
      <c r="N438" s="70"/>
      <c r="O438" s="3"/>
      <c r="P438" s="3"/>
      <c r="Q438" s="25"/>
      <c r="R438" s="3"/>
      <c r="S438" s="1"/>
      <c r="T438" s="1"/>
      <c r="U438" s="1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81"/>
      <c r="AN438" s="81"/>
      <c r="AO438" s="81"/>
      <c r="AP438" s="81"/>
      <c r="AQ438" s="81"/>
      <c r="AR438" s="81"/>
      <c r="AS438" s="81"/>
      <c r="AT438" s="81"/>
      <c r="AU438" s="81"/>
      <c r="AV438" s="81"/>
      <c r="AW438" s="81"/>
      <c r="AX438" s="81"/>
      <c r="AY438" s="81"/>
      <c r="AZ438" s="81"/>
      <c r="BA438" s="81"/>
      <c r="BB438" s="81"/>
    </row>
    <row r="439">
      <c r="A439" s="3"/>
      <c r="B439" s="3"/>
      <c r="C439" s="3"/>
      <c r="D439" s="105"/>
      <c r="E439" s="70"/>
      <c r="F439" s="3"/>
      <c r="G439" s="3"/>
      <c r="H439" s="3"/>
      <c r="I439" s="3"/>
      <c r="J439" s="1"/>
      <c r="K439" s="3"/>
      <c r="L439" s="3"/>
      <c r="M439" s="3"/>
      <c r="N439" s="70"/>
      <c r="O439" s="3"/>
      <c r="P439" s="3"/>
      <c r="Q439" s="25"/>
      <c r="R439" s="1"/>
      <c r="S439" s="1"/>
      <c r="T439" s="1"/>
      <c r="U439" s="3"/>
      <c r="V439" s="3"/>
      <c r="W439" s="1"/>
      <c r="X439" s="1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81"/>
      <c r="AN439" s="81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</row>
    <row r="440">
      <c r="A440" s="3"/>
      <c r="B440" s="3"/>
      <c r="C440" s="3"/>
      <c r="D440" s="70"/>
      <c r="E440" s="70"/>
      <c r="F440" s="3"/>
      <c r="G440" s="3"/>
      <c r="H440" s="3"/>
      <c r="I440" s="3"/>
      <c r="J440" s="1"/>
      <c r="K440" s="1"/>
      <c r="L440" s="3"/>
      <c r="M440" s="3"/>
      <c r="N440" s="105"/>
      <c r="O440" s="3"/>
      <c r="P440" s="3"/>
      <c r="Q440" s="25"/>
      <c r="R440" s="1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81"/>
      <c r="AN440" s="81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</row>
    <row r="441">
      <c r="A441" s="3"/>
      <c r="B441" s="3"/>
      <c r="C441" s="3"/>
      <c r="D441" s="70"/>
      <c r="E441" s="70"/>
      <c r="F441" s="3"/>
      <c r="G441" s="3"/>
      <c r="H441" s="3"/>
      <c r="I441" s="3"/>
      <c r="J441" s="3"/>
      <c r="K441" s="3"/>
      <c r="L441" s="3"/>
      <c r="M441" s="3"/>
      <c r="N441" s="105"/>
      <c r="O441" s="3"/>
      <c r="P441" s="3"/>
      <c r="Q441" s="25"/>
      <c r="R441" s="3"/>
      <c r="S441" s="1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81"/>
      <c r="AN441" s="81"/>
      <c r="AO441" s="81"/>
      <c r="AP441" s="81"/>
      <c r="AQ441" s="81"/>
      <c r="AR441" s="81"/>
      <c r="AS441" s="81"/>
      <c r="AT441" s="81"/>
      <c r="AU441" s="81"/>
      <c r="AV441" s="81"/>
      <c r="AW441" s="81"/>
      <c r="AX441" s="81"/>
      <c r="AY441" s="81"/>
      <c r="AZ441" s="81"/>
      <c r="BA441" s="81"/>
      <c r="BB441" s="81"/>
    </row>
    <row r="442">
      <c r="A442" s="3"/>
      <c r="B442" s="3"/>
      <c r="C442" s="3"/>
      <c r="D442" s="70"/>
      <c r="E442" s="70"/>
      <c r="F442" s="3"/>
      <c r="G442" s="3"/>
      <c r="H442" s="3"/>
      <c r="I442" s="1"/>
      <c r="J442" s="3"/>
      <c r="K442" s="3"/>
      <c r="L442" s="3"/>
      <c r="M442" s="3"/>
      <c r="N442" s="70"/>
      <c r="O442" s="3"/>
      <c r="P442" s="3"/>
      <c r="Q442" s="25"/>
      <c r="R442" s="1"/>
      <c r="S442" s="1"/>
      <c r="T442" s="1"/>
      <c r="U442" s="1"/>
      <c r="V442" s="3"/>
      <c r="W442" s="1"/>
      <c r="X442" s="1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81"/>
      <c r="AN442" s="81"/>
      <c r="AO442" s="81"/>
      <c r="AP442" s="81"/>
      <c r="AQ442" s="81"/>
      <c r="AR442" s="81"/>
      <c r="AS442" s="81"/>
      <c r="AT442" s="81"/>
      <c r="AU442" s="81"/>
      <c r="AV442" s="81"/>
      <c r="AW442" s="81"/>
      <c r="AX442" s="81"/>
      <c r="AY442" s="81"/>
      <c r="AZ442" s="81"/>
      <c r="BA442" s="81"/>
      <c r="BB442" s="81"/>
    </row>
    <row r="443">
      <c r="A443" s="3"/>
      <c r="B443" s="3"/>
      <c r="C443" s="3"/>
      <c r="D443" s="119"/>
      <c r="E443" s="70"/>
      <c r="F443" s="1"/>
      <c r="G443" s="3"/>
      <c r="H443" s="3"/>
      <c r="I443" s="3"/>
      <c r="J443" s="1"/>
      <c r="K443" s="3"/>
      <c r="L443" s="3"/>
      <c r="M443" s="3"/>
      <c r="N443" s="70"/>
      <c r="O443" s="3"/>
      <c r="P443" s="3"/>
      <c r="Q443" s="25"/>
      <c r="R443" s="3"/>
      <c r="S443" s="1"/>
      <c r="T443" s="1"/>
      <c r="U443" s="1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81"/>
      <c r="AN443" s="81"/>
      <c r="AO443" s="81"/>
      <c r="AP443" s="81"/>
      <c r="AQ443" s="81"/>
      <c r="AR443" s="81"/>
      <c r="AS443" s="81"/>
      <c r="AT443" s="81"/>
      <c r="AU443" s="81"/>
      <c r="AV443" s="81"/>
      <c r="AW443" s="81"/>
      <c r="AX443" s="81"/>
      <c r="AY443" s="81"/>
      <c r="AZ443" s="81"/>
      <c r="BA443" s="81"/>
      <c r="BB443" s="81"/>
    </row>
    <row r="444">
      <c r="A444" s="3"/>
      <c r="B444" s="3"/>
      <c r="C444" s="3"/>
      <c r="D444" s="131"/>
      <c r="E444" s="70"/>
      <c r="F444" s="3"/>
      <c r="G444" s="3"/>
      <c r="H444" s="3"/>
      <c r="I444" s="3"/>
      <c r="J444" s="3"/>
      <c r="K444" s="3"/>
      <c r="L444" s="3"/>
      <c r="M444" s="3"/>
      <c r="N444" s="70"/>
      <c r="O444" s="3"/>
      <c r="P444" s="3"/>
      <c r="Q444" s="25"/>
      <c r="R444" s="3"/>
      <c r="S444" s="1"/>
      <c r="T444" s="1"/>
      <c r="U444" s="1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81"/>
      <c r="AN444" s="81"/>
      <c r="AO444" s="81"/>
      <c r="AP444" s="81"/>
      <c r="AQ444" s="81"/>
      <c r="AR444" s="81"/>
      <c r="AS444" s="81"/>
      <c r="AT444" s="81"/>
      <c r="AU444" s="81"/>
      <c r="AV444" s="81"/>
      <c r="AW444" s="81"/>
      <c r="AX444" s="81"/>
      <c r="AY444" s="81"/>
      <c r="AZ444" s="81"/>
      <c r="BA444" s="81"/>
      <c r="BB444" s="81"/>
    </row>
    <row r="445">
      <c r="A445" s="3"/>
      <c r="B445" s="3"/>
      <c r="C445" s="3"/>
      <c r="D445" s="70"/>
      <c r="E445" s="70"/>
      <c r="F445" s="3"/>
      <c r="G445" s="3"/>
      <c r="H445" s="3"/>
      <c r="I445" s="3"/>
      <c r="J445" s="1"/>
      <c r="K445" s="3"/>
      <c r="L445" s="3"/>
      <c r="M445" s="3"/>
      <c r="N445" s="70"/>
      <c r="O445" s="3"/>
      <c r="P445" s="3"/>
      <c r="Q445" s="25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81"/>
      <c r="AN445" s="81"/>
      <c r="AO445" s="81"/>
      <c r="AP445" s="81"/>
      <c r="AQ445" s="81"/>
      <c r="AR445" s="81"/>
      <c r="AS445" s="81"/>
      <c r="AT445" s="81"/>
      <c r="AU445" s="81"/>
      <c r="AV445" s="81"/>
      <c r="AW445" s="81"/>
      <c r="AX445" s="81"/>
      <c r="AY445" s="81"/>
      <c r="AZ445" s="81"/>
      <c r="BA445" s="81"/>
      <c r="BB445" s="81"/>
    </row>
    <row r="446">
      <c r="A446" s="3"/>
      <c r="B446" s="3"/>
      <c r="C446" s="3"/>
      <c r="D446" s="70"/>
      <c r="E446" s="70"/>
      <c r="F446" s="3"/>
      <c r="G446" s="3"/>
      <c r="H446" s="3"/>
      <c r="I446" s="3"/>
      <c r="J446" s="1"/>
      <c r="K446" s="3"/>
      <c r="L446" s="3"/>
      <c r="M446" s="3"/>
      <c r="N446" s="70"/>
      <c r="O446" s="3"/>
      <c r="P446" s="3"/>
      <c r="Q446" s="25"/>
      <c r="R446" s="1"/>
      <c r="S446" s="1"/>
      <c r="T446" s="1"/>
      <c r="U446" s="1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81"/>
      <c r="AN446" s="81"/>
      <c r="AO446" s="81"/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/>
      <c r="BB446" s="81"/>
    </row>
    <row r="447">
      <c r="A447" s="1"/>
      <c r="B447" s="3"/>
      <c r="C447" s="3"/>
      <c r="D447" s="70"/>
      <c r="E447" s="70"/>
      <c r="F447" s="3"/>
      <c r="G447" s="3"/>
      <c r="H447" s="3"/>
      <c r="I447" s="3"/>
      <c r="J447" s="1"/>
      <c r="K447" s="3"/>
      <c r="L447" s="3"/>
      <c r="M447" s="3"/>
      <c r="N447" s="70"/>
      <c r="O447" s="3"/>
      <c r="P447" s="3"/>
      <c r="Q447" s="25"/>
      <c r="R447" s="3"/>
      <c r="S447" s="3"/>
      <c r="T447" s="1"/>
      <c r="U447" s="1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81"/>
      <c r="AN447" s="81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  <c r="BB447" s="81"/>
    </row>
    <row r="448">
      <c r="A448" s="3"/>
      <c r="B448" s="3"/>
      <c r="C448" s="3"/>
      <c r="D448" s="105"/>
      <c r="E448" s="70"/>
      <c r="F448" s="3"/>
      <c r="G448" s="3"/>
      <c r="H448" s="3"/>
      <c r="I448" s="3"/>
      <c r="J448" s="3"/>
      <c r="K448" s="3"/>
      <c r="L448" s="3"/>
      <c r="M448" s="3"/>
      <c r="N448" s="70"/>
      <c r="O448" s="3"/>
      <c r="P448" s="3"/>
      <c r="Q448" s="25"/>
      <c r="R448" s="3"/>
      <c r="S448" s="1"/>
      <c r="T448" s="1"/>
      <c r="U448" s="1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81"/>
      <c r="AN448" s="81"/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/>
      <c r="BB448" s="81"/>
    </row>
    <row r="449">
      <c r="A449" s="3"/>
      <c r="B449" s="3"/>
      <c r="C449" s="3"/>
      <c r="D449" s="70"/>
      <c r="E449" s="70"/>
      <c r="F449" s="3"/>
      <c r="G449" s="3"/>
      <c r="H449" s="3"/>
      <c r="I449" s="3"/>
      <c r="J449" s="3"/>
      <c r="K449" s="3"/>
      <c r="L449" s="3"/>
      <c r="M449" s="3"/>
      <c r="N449" s="70"/>
      <c r="O449" s="3"/>
      <c r="P449" s="3"/>
      <c r="Q449" s="25"/>
      <c r="R449" s="3"/>
      <c r="S449" s="1"/>
      <c r="T449" s="1"/>
      <c r="U449" s="1"/>
      <c r="V449" s="3"/>
      <c r="W449" s="3"/>
      <c r="X449" s="1"/>
      <c r="Y449" s="1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81"/>
      <c r="AN449" s="81"/>
      <c r="AO449" s="81"/>
      <c r="AP449" s="81"/>
      <c r="AQ449" s="81"/>
      <c r="AR449" s="81"/>
      <c r="AS449" s="81"/>
      <c r="AT449" s="81"/>
      <c r="AU449" s="81"/>
      <c r="AV449" s="81"/>
      <c r="AW449" s="81"/>
      <c r="AX449" s="81"/>
      <c r="AY449" s="81"/>
      <c r="AZ449" s="81"/>
      <c r="BA449" s="81"/>
      <c r="BB449" s="81"/>
    </row>
    <row r="450">
      <c r="A450" s="3"/>
      <c r="B450" s="3"/>
      <c r="C450" s="3"/>
      <c r="D450" s="70"/>
      <c r="E450" s="70"/>
      <c r="F450" s="3"/>
      <c r="G450" s="3"/>
      <c r="H450" s="3"/>
      <c r="I450" s="3"/>
      <c r="J450" s="3"/>
      <c r="K450" s="3"/>
      <c r="L450" s="3"/>
      <c r="M450" s="3"/>
      <c r="N450" s="70"/>
      <c r="O450" s="3"/>
      <c r="P450" s="3"/>
      <c r="Q450" s="25"/>
      <c r="R450" s="3"/>
      <c r="S450" s="3"/>
      <c r="T450" s="1"/>
      <c r="U450" s="1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81"/>
      <c r="AN450" s="81"/>
      <c r="AO450" s="81"/>
      <c r="AP450" s="81"/>
      <c r="AQ450" s="81"/>
      <c r="AR450" s="81"/>
      <c r="AS450" s="81"/>
      <c r="AT450" s="81"/>
      <c r="AU450" s="81"/>
      <c r="AV450" s="81"/>
      <c r="AW450" s="81"/>
      <c r="AX450" s="81"/>
      <c r="AY450" s="81"/>
      <c r="AZ450" s="81"/>
      <c r="BA450" s="81"/>
      <c r="BB450" s="81"/>
    </row>
    <row r="451">
      <c r="A451" s="3"/>
      <c r="B451" s="3"/>
      <c r="C451" s="3"/>
      <c r="D451" s="70"/>
      <c r="E451" s="70"/>
      <c r="F451" s="3"/>
      <c r="G451" s="3"/>
      <c r="H451" s="3"/>
      <c r="I451" s="3"/>
      <c r="J451" s="3"/>
      <c r="K451" s="3"/>
      <c r="L451" s="3"/>
      <c r="M451" s="3"/>
      <c r="N451" s="70"/>
      <c r="O451" s="3"/>
      <c r="P451" s="3"/>
      <c r="Q451" s="25"/>
      <c r="R451" s="3"/>
      <c r="S451" s="1"/>
      <c r="T451" s="1"/>
      <c r="U451" s="1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81"/>
      <c r="AN451" s="81"/>
      <c r="AO451" s="81"/>
      <c r="AP451" s="81"/>
      <c r="AQ451" s="81"/>
      <c r="AR451" s="81"/>
      <c r="AS451" s="81"/>
      <c r="AT451" s="81"/>
      <c r="AU451" s="81"/>
      <c r="AV451" s="81"/>
      <c r="AW451" s="81"/>
      <c r="AX451" s="81"/>
      <c r="AY451" s="81"/>
      <c r="AZ451" s="81"/>
      <c r="BA451" s="81"/>
      <c r="BB451" s="81"/>
    </row>
    <row r="452">
      <c r="A452" s="3"/>
      <c r="B452" s="3"/>
      <c r="C452" s="3"/>
      <c r="D452" s="70"/>
      <c r="E452" s="70"/>
      <c r="F452" s="3"/>
      <c r="G452" s="3"/>
      <c r="H452" s="3"/>
      <c r="I452" s="3"/>
      <c r="J452" s="1"/>
      <c r="K452" s="3"/>
      <c r="L452" s="3"/>
      <c r="M452" s="3"/>
      <c r="N452" s="70"/>
      <c r="O452" s="3"/>
      <c r="P452" s="3"/>
      <c r="Q452" s="25"/>
      <c r="R452" s="3"/>
      <c r="S452" s="1"/>
      <c r="T452" s="3"/>
      <c r="U452" s="1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81"/>
      <c r="AN452" s="81"/>
      <c r="AO452" s="81"/>
      <c r="AP452" s="81"/>
      <c r="AQ452" s="81"/>
      <c r="AR452" s="81"/>
      <c r="AS452" s="81"/>
      <c r="AT452" s="81"/>
      <c r="AU452" s="81"/>
      <c r="AV452" s="81"/>
      <c r="AW452" s="81"/>
      <c r="AX452" s="81"/>
      <c r="AY452" s="81"/>
      <c r="AZ452" s="81"/>
      <c r="BA452" s="81"/>
      <c r="BB452" s="81"/>
    </row>
    <row r="453">
      <c r="A453" s="1"/>
      <c r="B453" s="3"/>
      <c r="C453" s="3"/>
      <c r="D453" s="70"/>
      <c r="E453" s="70"/>
      <c r="F453" s="3"/>
      <c r="G453" s="3"/>
      <c r="H453" s="3"/>
      <c r="I453" s="3"/>
      <c r="J453" s="1"/>
      <c r="K453" s="3"/>
      <c r="L453" s="3"/>
      <c r="M453" s="3"/>
      <c r="N453" s="70"/>
      <c r="O453" s="3"/>
      <c r="P453" s="3"/>
      <c r="Q453" s="25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1"/>
      <c r="AH453" s="3"/>
      <c r="AI453" s="1"/>
      <c r="AJ453" s="3"/>
      <c r="AK453" s="1"/>
      <c r="AL453" s="3"/>
      <c r="AM453" s="81"/>
      <c r="AN453" s="81"/>
      <c r="AO453" s="81"/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</row>
    <row r="454">
      <c r="A454" s="3"/>
      <c r="B454" s="3"/>
      <c r="C454" s="3"/>
      <c r="D454" s="141"/>
      <c r="E454" s="70"/>
      <c r="F454" s="3"/>
      <c r="G454" s="3"/>
      <c r="H454" s="3"/>
      <c r="I454" s="3"/>
      <c r="J454" s="3"/>
      <c r="K454" s="3"/>
      <c r="L454" s="3"/>
      <c r="M454" s="3"/>
      <c r="N454" s="70"/>
      <c r="O454" s="3"/>
      <c r="P454" s="3"/>
      <c r="Q454" s="25"/>
      <c r="R454" s="1"/>
      <c r="S454" s="1"/>
      <c r="T454" s="1"/>
      <c r="U454" s="1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81"/>
      <c r="AN454" s="81"/>
      <c r="AO454" s="81"/>
      <c r="AP454" s="81"/>
      <c r="AQ454" s="81"/>
      <c r="AR454" s="81"/>
      <c r="AS454" s="81"/>
      <c r="AT454" s="81"/>
      <c r="AU454" s="81"/>
      <c r="AV454" s="81"/>
      <c r="AW454" s="81"/>
      <c r="AX454" s="81"/>
      <c r="AY454" s="81"/>
      <c r="AZ454" s="81"/>
      <c r="BA454" s="81"/>
      <c r="BB454" s="81"/>
    </row>
    <row r="455">
      <c r="A455" s="3"/>
      <c r="B455" s="3"/>
      <c r="C455" s="3"/>
      <c r="D455" s="130"/>
      <c r="E455" s="70"/>
      <c r="F455" s="3"/>
      <c r="G455" s="3"/>
      <c r="H455" s="3"/>
      <c r="I455" s="1"/>
      <c r="J455" s="3"/>
      <c r="K455" s="3"/>
      <c r="L455" s="3"/>
      <c r="M455" s="3"/>
      <c r="N455" s="70"/>
      <c r="O455" s="3"/>
      <c r="P455" s="3"/>
      <c r="Q455" s="25"/>
      <c r="R455" s="1"/>
      <c r="S455" s="1"/>
      <c r="T455" s="1"/>
      <c r="U455" s="1"/>
      <c r="V455" s="1"/>
      <c r="W455" s="1"/>
      <c r="X455" s="1"/>
      <c r="Y455" s="1"/>
      <c r="Z455" s="3"/>
      <c r="AA455" s="3"/>
      <c r="AB455" s="3"/>
      <c r="AC455" s="3"/>
      <c r="AD455" s="1"/>
      <c r="AE455" s="3"/>
      <c r="AF455" s="3"/>
      <c r="AG455" s="3"/>
      <c r="AH455" s="3"/>
      <c r="AI455" s="3"/>
      <c r="AJ455" s="3"/>
      <c r="AK455" s="3"/>
      <c r="AL455" s="3"/>
      <c r="AM455" s="81"/>
      <c r="AN455" s="81"/>
      <c r="AO455" s="81"/>
      <c r="AP455" s="81"/>
      <c r="AQ455" s="81"/>
      <c r="AR455" s="81"/>
      <c r="AS455" s="81"/>
      <c r="AT455" s="81"/>
      <c r="AU455" s="81"/>
      <c r="AV455" s="81"/>
      <c r="AW455" s="81"/>
      <c r="AX455" s="81"/>
      <c r="AY455" s="81"/>
      <c r="AZ455" s="81"/>
      <c r="BA455" s="81"/>
      <c r="BB455" s="81"/>
    </row>
    <row r="456">
      <c r="A456" s="3"/>
      <c r="B456" s="3"/>
      <c r="C456" s="3"/>
      <c r="D456" s="70"/>
      <c r="E456" s="70"/>
      <c r="F456" s="3"/>
      <c r="G456" s="3"/>
      <c r="H456" s="3"/>
      <c r="I456" s="3"/>
      <c r="J456" s="3"/>
      <c r="K456" s="3"/>
      <c r="L456" s="3"/>
      <c r="M456" s="3"/>
      <c r="N456" s="70"/>
      <c r="O456" s="3"/>
      <c r="P456" s="3"/>
      <c r="Q456" s="142"/>
      <c r="R456" s="3"/>
      <c r="S456" s="1"/>
      <c r="T456" s="1"/>
      <c r="U456" s="1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81"/>
      <c r="AN456" s="81"/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/>
      <c r="AZ456" s="81"/>
      <c r="BA456" s="81"/>
      <c r="BB456" s="81"/>
    </row>
    <row r="457">
      <c r="A457" s="3"/>
      <c r="B457" s="3"/>
      <c r="C457" s="3"/>
      <c r="D457" s="131"/>
      <c r="E457" s="70"/>
      <c r="F457" s="3"/>
      <c r="G457" s="3"/>
      <c r="H457" s="3"/>
      <c r="I457" s="3"/>
      <c r="J457" s="3"/>
      <c r="K457" s="3"/>
      <c r="L457" s="3"/>
      <c r="M457" s="3"/>
      <c r="N457" s="70"/>
      <c r="O457" s="3"/>
      <c r="P457" s="3"/>
      <c r="Q457" s="25"/>
      <c r="R457" s="3"/>
      <c r="S457" s="1"/>
      <c r="T457" s="1"/>
      <c r="U457" s="1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</row>
    <row r="458">
      <c r="A458" s="1"/>
      <c r="B458" s="3"/>
      <c r="C458" s="3"/>
      <c r="D458" s="127"/>
      <c r="E458" s="70"/>
      <c r="F458" s="3"/>
      <c r="G458" s="3"/>
      <c r="H458" s="3"/>
      <c r="I458" s="3"/>
      <c r="J458" s="3"/>
      <c r="K458" s="3"/>
      <c r="L458" s="3"/>
      <c r="M458" s="3"/>
      <c r="N458" s="105"/>
      <c r="O458" s="3"/>
      <c r="P458" s="3"/>
      <c r="Q458" s="25"/>
      <c r="R458" s="3"/>
      <c r="S458" s="1"/>
      <c r="T458" s="1"/>
      <c r="U458" s="1"/>
      <c r="V458" s="3"/>
      <c r="W458" s="1"/>
      <c r="X458" s="1"/>
      <c r="Y458" s="1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81"/>
      <c r="AN458" s="81"/>
      <c r="AO458" s="81"/>
      <c r="AP458" s="81"/>
      <c r="AQ458" s="81"/>
      <c r="AR458" s="81"/>
      <c r="AS458" s="81"/>
      <c r="AT458" s="81"/>
      <c r="AU458" s="81"/>
      <c r="AV458" s="81"/>
      <c r="AW458" s="81"/>
      <c r="AX458" s="81"/>
      <c r="AY458" s="81"/>
      <c r="AZ458" s="81"/>
      <c r="BA458" s="81"/>
      <c r="BB458" s="81"/>
    </row>
    <row r="459">
      <c r="A459" s="3"/>
      <c r="B459" s="3"/>
      <c r="C459" s="3"/>
      <c r="D459" s="70"/>
      <c r="E459" s="70"/>
      <c r="F459" s="3"/>
      <c r="G459" s="3"/>
      <c r="H459" s="3"/>
      <c r="I459" s="3"/>
      <c r="J459" s="1"/>
      <c r="K459" s="3"/>
      <c r="L459" s="3"/>
      <c r="M459" s="3"/>
      <c r="N459" s="70"/>
      <c r="O459" s="3"/>
      <c r="P459" s="3"/>
      <c r="Q459" s="25"/>
      <c r="R459" s="1"/>
      <c r="S459" s="1"/>
      <c r="T459" s="1"/>
      <c r="U459" s="1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81"/>
      <c r="AN459" s="81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</row>
    <row r="460">
      <c r="A460" s="3"/>
      <c r="B460" s="3"/>
      <c r="C460" s="3"/>
      <c r="D460" s="129"/>
      <c r="E460" s="70"/>
      <c r="F460" s="3"/>
      <c r="G460" s="3"/>
      <c r="H460" s="3"/>
      <c r="I460" s="3"/>
      <c r="J460" s="1"/>
      <c r="K460" s="3"/>
      <c r="L460" s="3"/>
      <c r="M460" s="3"/>
      <c r="N460" s="70"/>
      <c r="O460" s="3"/>
      <c r="P460" s="3"/>
      <c r="Q460" s="25"/>
      <c r="R460" s="1"/>
      <c r="S460" s="1"/>
      <c r="T460" s="1"/>
      <c r="U460" s="1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81"/>
      <c r="AN460" s="81"/>
      <c r="AO460" s="81"/>
      <c r="AP460" s="81"/>
      <c r="AQ460" s="81"/>
      <c r="AR460" s="81"/>
      <c r="AS460" s="81"/>
      <c r="AT460" s="81"/>
      <c r="AU460" s="81"/>
      <c r="AV460" s="81"/>
      <c r="AW460" s="81"/>
      <c r="AX460" s="81"/>
      <c r="AY460" s="81"/>
      <c r="AZ460" s="81"/>
      <c r="BA460" s="81"/>
      <c r="BB460" s="81"/>
    </row>
    <row r="461">
      <c r="A461" s="3"/>
      <c r="B461" s="3"/>
      <c r="C461" s="3"/>
      <c r="D461" s="70"/>
      <c r="E461" s="70"/>
      <c r="F461" s="3"/>
      <c r="G461" s="3"/>
      <c r="H461" s="3"/>
      <c r="I461" s="3"/>
      <c r="J461" s="3"/>
      <c r="K461" s="3"/>
      <c r="L461" s="3"/>
      <c r="M461" s="3"/>
      <c r="N461" s="70"/>
      <c r="O461" s="3"/>
      <c r="P461" s="3"/>
      <c r="Q461" s="25"/>
      <c r="R461" s="3"/>
      <c r="S461" s="1"/>
      <c r="T461" s="1"/>
      <c r="U461" s="1"/>
      <c r="V461" s="3"/>
      <c r="W461" s="3"/>
      <c r="X461" s="1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81"/>
      <c r="AN461" s="81"/>
      <c r="AO461" s="81"/>
      <c r="AP461" s="81"/>
      <c r="AQ461" s="81"/>
      <c r="AR461" s="81"/>
      <c r="AS461" s="81"/>
      <c r="AT461" s="81"/>
      <c r="AU461" s="81"/>
      <c r="AV461" s="81"/>
      <c r="AW461" s="81"/>
      <c r="AX461" s="81"/>
      <c r="AY461" s="81"/>
      <c r="AZ461" s="81"/>
      <c r="BA461" s="81"/>
      <c r="BB461" s="81"/>
    </row>
    <row r="462">
      <c r="A462" s="1"/>
      <c r="B462" s="3"/>
      <c r="C462" s="3"/>
      <c r="D462" s="105"/>
      <c r="E462" s="70"/>
      <c r="F462" s="3"/>
      <c r="G462" s="3"/>
      <c r="H462" s="3"/>
      <c r="I462" s="3"/>
      <c r="J462" s="3"/>
      <c r="K462" s="3"/>
      <c r="L462" s="3"/>
      <c r="M462" s="3"/>
      <c r="N462" s="70"/>
      <c r="O462" s="3"/>
      <c r="P462" s="3"/>
      <c r="Q462" s="25"/>
      <c r="R462" s="3"/>
      <c r="S462" s="3"/>
      <c r="T462" s="1"/>
      <c r="U462" s="1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81"/>
      <c r="AN462" s="81"/>
      <c r="AO462" s="81"/>
      <c r="AP462" s="81"/>
      <c r="AQ462" s="81"/>
      <c r="AR462" s="81"/>
      <c r="AS462" s="81"/>
      <c r="AT462" s="81"/>
      <c r="AU462" s="81"/>
      <c r="AV462" s="81"/>
      <c r="AW462" s="81"/>
      <c r="AX462" s="81"/>
      <c r="AY462" s="81"/>
      <c r="AZ462" s="81"/>
      <c r="BA462" s="81"/>
      <c r="BB462" s="81"/>
    </row>
    <row r="463">
      <c r="A463" s="3"/>
      <c r="B463" s="3"/>
      <c r="C463" s="3"/>
      <c r="D463" s="70"/>
      <c r="E463" s="70"/>
      <c r="F463" s="3"/>
      <c r="G463" s="3"/>
      <c r="H463" s="3"/>
      <c r="I463" s="3"/>
      <c r="J463" s="3"/>
      <c r="K463" s="3"/>
      <c r="L463" s="3"/>
      <c r="M463" s="3"/>
      <c r="N463" s="70"/>
      <c r="O463" s="3"/>
      <c r="P463" s="3"/>
      <c r="Q463" s="25"/>
      <c r="R463" s="3"/>
      <c r="S463" s="1"/>
      <c r="T463" s="1"/>
      <c r="U463" s="1"/>
      <c r="V463" s="3"/>
      <c r="W463" s="3"/>
      <c r="X463" s="1"/>
      <c r="Y463" s="1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81"/>
      <c r="AN463" s="81"/>
      <c r="AO463" s="81"/>
      <c r="AP463" s="81"/>
      <c r="AQ463" s="81"/>
      <c r="AR463" s="81"/>
      <c r="AS463" s="81"/>
      <c r="AT463" s="81"/>
      <c r="AU463" s="81"/>
      <c r="AV463" s="81"/>
      <c r="AW463" s="81"/>
      <c r="AX463" s="81"/>
      <c r="AY463" s="81"/>
      <c r="AZ463" s="81"/>
      <c r="BA463" s="81"/>
      <c r="BB463" s="81"/>
    </row>
    <row r="464">
      <c r="A464" s="3"/>
      <c r="B464" s="3"/>
      <c r="C464" s="3"/>
      <c r="D464" s="105"/>
      <c r="E464" s="70"/>
      <c r="F464" s="3"/>
      <c r="G464" s="3"/>
      <c r="H464" s="3"/>
      <c r="I464" s="3"/>
      <c r="J464" s="3"/>
      <c r="K464" s="3"/>
      <c r="L464" s="3"/>
      <c r="M464" s="3"/>
      <c r="N464" s="70"/>
      <c r="O464" s="3"/>
      <c r="P464" s="3"/>
      <c r="Q464" s="25"/>
      <c r="R464" s="3"/>
      <c r="S464" s="1"/>
      <c r="T464" s="1"/>
      <c r="U464" s="1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81"/>
      <c r="AN464" s="81"/>
      <c r="AO464" s="81"/>
      <c r="AP464" s="81"/>
      <c r="AQ464" s="81"/>
      <c r="AR464" s="81"/>
      <c r="AS464" s="81"/>
      <c r="AT464" s="81"/>
      <c r="AU464" s="81"/>
      <c r="AV464" s="81"/>
      <c r="AW464" s="81"/>
      <c r="AX464" s="81"/>
      <c r="AY464" s="81"/>
      <c r="AZ464" s="81"/>
      <c r="BA464" s="81"/>
      <c r="BB464" s="81"/>
    </row>
    <row r="465">
      <c r="A465" s="3"/>
      <c r="B465" s="3"/>
      <c r="C465" s="3"/>
      <c r="D465" s="70"/>
      <c r="E465" s="70"/>
      <c r="F465" s="3"/>
      <c r="G465" s="3"/>
      <c r="H465" s="3"/>
      <c r="I465" s="1"/>
      <c r="J465" s="1"/>
      <c r="K465" s="3"/>
      <c r="L465" s="3"/>
      <c r="M465" s="3"/>
      <c r="N465" s="70"/>
      <c r="O465" s="3"/>
      <c r="P465" s="3"/>
      <c r="Q465" s="142"/>
      <c r="R465" s="3"/>
      <c r="S465" s="1"/>
      <c r="T465" s="1"/>
      <c r="U465" s="1"/>
      <c r="V465" s="1"/>
      <c r="W465" s="3"/>
      <c r="X465" s="1"/>
      <c r="Y465" s="1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81"/>
      <c r="AN465" s="81"/>
      <c r="AO465" s="81"/>
      <c r="AP465" s="81"/>
      <c r="AQ465" s="81"/>
      <c r="AR465" s="81"/>
      <c r="AS465" s="81"/>
      <c r="AT465" s="81"/>
      <c r="AU465" s="81"/>
      <c r="AV465" s="81"/>
      <c r="AW465" s="81"/>
      <c r="AX465" s="81"/>
      <c r="AY465" s="81"/>
      <c r="AZ465" s="81"/>
      <c r="BA465" s="81"/>
      <c r="BB465" s="81"/>
    </row>
    <row r="466">
      <c r="A466" s="1"/>
      <c r="B466" s="3"/>
      <c r="C466" s="3"/>
      <c r="D466" s="105"/>
      <c r="E466" s="70"/>
      <c r="F466" s="3"/>
      <c r="G466" s="3"/>
      <c r="H466" s="3"/>
      <c r="I466" s="3"/>
      <c r="J466" s="1"/>
      <c r="K466" s="3"/>
      <c r="L466" s="3"/>
      <c r="M466" s="3"/>
      <c r="N466" s="70"/>
      <c r="O466" s="3"/>
      <c r="P466" s="3"/>
      <c r="Q466" s="25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81"/>
      <c r="AN466" s="81"/>
      <c r="AO466" s="81"/>
      <c r="AP466" s="81"/>
      <c r="AQ466" s="81"/>
      <c r="AR466" s="81"/>
      <c r="AS466" s="81"/>
      <c r="AT466" s="81"/>
      <c r="AU466" s="81"/>
      <c r="AV466" s="81"/>
      <c r="AW466" s="81"/>
      <c r="AX466" s="81"/>
      <c r="AY466" s="81"/>
      <c r="AZ466" s="81"/>
      <c r="BA466" s="81"/>
      <c r="BB466" s="81"/>
    </row>
    <row r="467">
      <c r="A467" s="3"/>
      <c r="B467" s="3"/>
      <c r="C467" s="3"/>
      <c r="D467" s="70"/>
      <c r="E467" s="70"/>
      <c r="F467" s="3"/>
      <c r="G467" s="3"/>
      <c r="H467" s="3"/>
      <c r="I467" s="3"/>
      <c r="J467" s="3"/>
      <c r="K467" s="3"/>
      <c r="L467" s="3"/>
      <c r="M467" s="3"/>
      <c r="N467" s="70"/>
      <c r="O467" s="3"/>
      <c r="P467" s="3"/>
      <c r="Q467" s="25"/>
      <c r="R467" s="3"/>
      <c r="S467" s="3"/>
      <c r="T467" s="1"/>
      <c r="U467" s="1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81"/>
      <c r="AN467" s="81"/>
      <c r="AO467" s="81"/>
      <c r="AP467" s="81"/>
      <c r="AQ467" s="81"/>
      <c r="AR467" s="81"/>
      <c r="AS467" s="81"/>
      <c r="AT467" s="81"/>
      <c r="AU467" s="81"/>
      <c r="AV467" s="81"/>
      <c r="AW467" s="81"/>
      <c r="AX467" s="81"/>
      <c r="AY467" s="81"/>
      <c r="AZ467" s="81"/>
      <c r="BA467" s="81"/>
      <c r="BB467" s="81"/>
    </row>
    <row r="468">
      <c r="A468" s="3"/>
      <c r="B468" s="3"/>
      <c r="C468" s="3"/>
      <c r="D468" s="70"/>
      <c r="E468" s="70"/>
      <c r="F468" s="3"/>
      <c r="G468" s="3"/>
      <c r="H468" s="3"/>
      <c r="I468" s="3"/>
      <c r="J468" s="3"/>
      <c r="K468" s="3"/>
      <c r="L468" s="3"/>
      <c r="M468" s="3"/>
      <c r="N468" s="70"/>
      <c r="O468" s="3"/>
      <c r="P468" s="3"/>
      <c r="Q468" s="25"/>
      <c r="R468" s="3"/>
      <c r="S468" s="1"/>
      <c r="T468" s="3"/>
      <c r="U468" s="1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81"/>
      <c r="AN468" s="81"/>
      <c r="AO468" s="81"/>
      <c r="AP468" s="81"/>
      <c r="AQ468" s="81"/>
      <c r="AR468" s="81"/>
      <c r="AS468" s="81"/>
      <c r="AT468" s="81"/>
      <c r="AU468" s="81"/>
      <c r="AV468" s="81"/>
      <c r="AW468" s="81"/>
      <c r="AX468" s="81"/>
      <c r="AY468" s="81"/>
      <c r="AZ468" s="81"/>
      <c r="BA468" s="81"/>
      <c r="BB468" s="81"/>
    </row>
    <row r="469">
      <c r="A469" s="3"/>
      <c r="B469" s="3"/>
      <c r="C469" s="3"/>
      <c r="D469" s="141"/>
      <c r="E469" s="70"/>
      <c r="F469" s="3"/>
      <c r="G469" s="3"/>
      <c r="H469" s="3"/>
      <c r="I469" s="3"/>
      <c r="J469" s="3"/>
      <c r="K469" s="3"/>
      <c r="L469" s="3"/>
      <c r="M469" s="3"/>
      <c r="N469" s="70"/>
      <c r="O469" s="3"/>
      <c r="P469" s="3"/>
      <c r="Q469" s="25"/>
      <c r="R469" s="3"/>
      <c r="S469" s="1"/>
      <c r="T469" s="1"/>
      <c r="U469" s="1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107"/>
      <c r="AN469" s="81"/>
      <c r="AO469" s="81"/>
      <c r="AP469" s="81"/>
      <c r="AQ469" s="81"/>
      <c r="AR469" s="81"/>
      <c r="AS469" s="81"/>
      <c r="AT469" s="81"/>
      <c r="AU469" s="81"/>
      <c r="AV469" s="81"/>
      <c r="AW469" s="81"/>
      <c r="AX469" s="81"/>
      <c r="AY469" s="81"/>
      <c r="AZ469" s="81"/>
      <c r="BA469" s="81"/>
      <c r="BB469" s="81"/>
    </row>
    <row r="470">
      <c r="A470" s="3"/>
      <c r="B470" s="3"/>
      <c r="C470" s="3"/>
      <c r="D470" s="141"/>
      <c r="E470" s="70"/>
      <c r="F470" s="3"/>
      <c r="G470" s="3"/>
      <c r="H470" s="3"/>
      <c r="I470" s="3"/>
      <c r="J470" s="3"/>
      <c r="K470" s="3"/>
      <c r="L470" s="3"/>
      <c r="M470" s="3"/>
      <c r="N470" s="70"/>
      <c r="O470" s="3"/>
      <c r="P470" s="3"/>
      <c r="Q470" s="25"/>
      <c r="R470" s="3"/>
      <c r="S470" s="3"/>
      <c r="T470" s="1"/>
      <c r="U470" s="1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81"/>
      <c r="AN470" s="81"/>
      <c r="AO470" s="81"/>
      <c r="AP470" s="81"/>
      <c r="AQ470" s="81"/>
      <c r="AR470" s="81"/>
      <c r="AS470" s="81"/>
      <c r="AT470" s="81"/>
      <c r="AU470" s="81"/>
      <c r="AV470" s="81"/>
      <c r="AW470" s="81"/>
      <c r="AX470" s="81"/>
      <c r="AY470" s="81"/>
      <c r="AZ470" s="81"/>
      <c r="BA470" s="81"/>
      <c r="BB470" s="81"/>
    </row>
    <row r="471">
      <c r="A471" s="3"/>
      <c r="B471" s="3"/>
      <c r="C471" s="3"/>
      <c r="D471" s="70"/>
      <c r="E471" s="70"/>
      <c r="F471" s="3"/>
      <c r="G471" s="1"/>
      <c r="H471" s="3"/>
      <c r="I471" s="3"/>
      <c r="J471" s="3"/>
      <c r="K471" s="3"/>
      <c r="L471" s="3"/>
      <c r="M471" s="3"/>
      <c r="N471" s="70"/>
      <c r="O471" s="3"/>
      <c r="P471" s="3"/>
      <c r="Q471" s="25"/>
      <c r="R471" s="3"/>
      <c r="S471" s="1"/>
      <c r="T471" s="1"/>
      <c r="U471" s="1"/>
      <c r="V471" s="3"/>
      <c r="W471" s="3"/>
      <c r="X471" s="1"/>
      <c r="Y471" s="1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81"/>
      <c r="AN471" s="81"/>
      <c r="AO471" s="81"/>
      <c r="AP471" s="81"/>
      <c r="AQ471" s="81"/>
      <c r="AR471" s="81"/>
      <c r="AS471" s="81"/>
      <c r="AT471" s="81"/>
      <c r="AU471" s="81"/>
      <c r="AV471" s="81"/>
      <c r="AW471" s="81"/>
      <c r="AX471" s="81"/>
      <c r="AY471" s="81"/>
      <c r="AZ471" s="81"/>
      <c r="BA471" s="81"/>
      <c r="BB471" s="81"/>
    </row>
    <row r="472">
      <c r="A472" s="3"/>
      <c r="B472" s="3"/>
      <c r="C472" s="3"/>
      <c r="D472" s="70"/>
      <c r="E472" s="70"/>
      <c r="F472" s="3"/>
      <c r="G472" s="3"/>
      <c r="H472" s="3"/>
      <c r="I472" s="3"/>
      <c r="J472" s="3"/>
      <c r="K472" s="3"/>
      <c r="L472" s="3"/>
      <c r="M472" s="3"/>
      <c r="N472" s="70"/>
      <c r="O472" s="3"/>
      <c r="P472" s="3"/>
      <c r="Q472" s="25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81"/>
      <c r="AN472" s="81"/>
      <c r="AO472" s="81"/>
      <c r="AP472" s="81"/>
      <c r="AQ472" s="81"/>
      <c r="AR472" s="81"/>
      <c r="AS472" s="81"/>
      <c r="AT472" s="81"/>
      <c r="AU472" s="81"/>
      <c r="AV472" s="81"/>
      <c r="AW472" s="81"/>
      <c r="AX472" s="81"/>
      <c r="AY472" s="81"/>
      <c r="AZ472" s="81"/>
      <c r="BA472" s="81"/>
      <c r="BB472" s="81"/>
    </row>
    <row r="473">
      <c r="A473" s="1"/>
      <c r="B473" s="3"/>
      <c r="C473" s="3"/>
      <c r="D473" s="70"/>
      <c r="E473" s="70"/>
      <c r="F473" s="3"/>
      <c r="G473" s="3"/>
      <c r="H473" s="3"/>
      <c r="I473" s="3"/>
      <c r="J473" s="3"/>
      <c r="K473" s="3"/>
      <c r="L473" s="3"/>
      <c r="M473" s="3"/>
      <c r="N473" s="105"/>
      <c r="O473" s="3"/>
      <c r="P473" s="3"/>
      <c r="Q473" s="25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81"/>
      <c r="AN473" s="81"/>
      <c r="AO473" s="81"/>
      <c r="AP473" s="81"/>
      <c r="AQ473" s="81"/>
      <c r="AR473" s="81"/>
      <c r="AS473" s="81"/>
      <c r="AT473" s="81"/>
      <c r="AU473" s="81"/>
      <c r="AV473" s="81"/>
      <c r="AW473" s="81"/>
      <c r="AX473" s="81"/>
      <c r="AY473" s="81"/>
      <c r="AZ473" s="81"/>
      <c r="BA473" s="81"/>
      <c r="BB473" s="81"/>
    </row>
    <row r="474">
      <c r="A474" s="3"/>
      <c r="B474" s="3"/>
      <c r="C474" s="3"/>
      <c r="D474" s="70"/>
      <c r="E474" s="70"/>
      <c r="F474" s="3"/>
      <c r="G474" s="3"/>
      <c r="H474" s="3"/>
      <c r="I474" s="3"/>
      <c r="J474" s="3"/>
      <c r="K474" s="3"/>
      <c r="L474" s="3"/>
      <c r="M474" s="3"/>
      <c r="N474" s="70"/>
      <c r="O474" s="3"/>
      <c r="P474" s="3"/>
      <c r="Q474" s="25"/>
      <c r="R474" s="3"/>
      <c r="S474" s="3"/>
      <c r="T474" s="1"/>
      <c r="U474" s="1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81"/>
      <c r="AN474" s="81"/>
      <c r="AO474" s="81"/>
      <c r="AP474" s="81"/>
      <c r="AQ474" s="81"/>
      <c r="AR474" s="81"/>
      <c r="AS474" s="81"/>
      <c r="AT474" s="81"/>
      <c r="AU474" s="81"/>
      <c r="AV474" s="81"/>
      <c r="AW474" s="81"/>
      <c r="AX474" s="81"/>
      <c r="AY474" s="81"/>
      <c r="AZ474" s="81"/>
      <c r="BA474" s="81"/>
      <c r="BB474" s="81"/>
    </row>
    <row r="475">
      <c r="A475" s="3"/>
      <c r="B475" s="3"/>
      <c r="C475" s="3"/>
      <c r="D475" s="70"/>
      <c r="E475" s="70"/>
      <c r="F475" s="3"/>
      <c r="G475" s="3"/>
      <c r="H475" s="3"/>
      <c r="I475" s="3"/>
      <c r="J475" s="1"/>
      <c r="K475" s="3"/>
      <c r="L475" s="3"/>
      <c r="M475" s="3"/>
      <c r="N475" s="70"/>
      <c r="O475" s="3"/>
      <c r="P475" s="3"/>
      <c r="Q475" s="25"/>
      <c r="R475" s="3"/>
      <c r="S475" s="1"/>
      <c r="T475" s="1"/>
      <c r="U475" s="1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81"/>
      <c r="AN475" s="81"/>
      <c r="AO475" s="81"/>
      <c r="AP475" s="81"/>
      <c r="AQ475" s="81"/>
      <c r="AR475" s="81"/>
      <c r="AS475" s="81"/>
      <c r="AT475" s="81"/>
      <c r="AU475" s="81"/>
      <c r="AV475" s="81"/>
      <c r="AW475" s="81"/>
      <c r="AX475" s="81"/>
      <c r="AY475" s="81"/>
      <c r="AZ475" s="81"/>
      <c r="BA475" s="81"/>
      <c r="BB475" s="81"/>
    </row>
    <row r="476">
      <c r="A476" s="3"/>
      <c r="B476" s="3"/>
      <c r="C476" s="3"/>
      <c r="D476" s="70"/>
      <c r="E476" s="70"/>
      <c r="F476" s="3"/>
      <c r="G476" s="3"/>
      <c r="H476" s="3"/>
      <c r="I476" s="3"/>
      <c r="J476" s="1"/>
      <c r="K476" s="3"/>
      <c r="L476" s="3"/>
      <c r="M476" s="3"/>
      <c r="N476" s="70"/>
      <c r="O476" s="3"/>
      <c r="P476" s="3"/>
      <c r="Q476" s="25"/>
      <c r="R476" s="3"/>
      <c r="S476" s="1"/>
      <c r="T476" s="1"/>
      <c r="U476" s="1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81"/>
      <c r="AN476" s="81"/>
      <c r="AO476" s="81"/>
      <c r="AP476" s="81"/>
      <c r="AQ476" s="81"/>
      <c r="AR476" s="81"/>
      <c r="AS476" s="81"/>
      <c r="AT476" s="81"/>
      <c r="AU476" s="81"/>
      <c r="AV476" s="81"/>
      <c r="AW476" s="81"/>
      <c r="AX476" s="81"/>
      <c r="AY476" s="81"/>
      <c r="AZ476" s="81"/>
      <c r="BA476" s="81"/>
      <c r="BB476" s="81"/>
    </row>
    <row r="477">
      <c r="A477" s="3"/>
      <c r="B477" s="3"/>
      <c r="C477" s="3"/>
      <c r="D477" s="70"/>
      <c r="E477" s="70"/>
      <c r="F477" s="3"/>
      <c r="G477" s="3"/>
      <c r="H477" s="3"/>
      <c r="I477" s="3"/>
      <c r="J477" s="3"/>
      <c r="K477" s="3"/>
      <c r="L477" s="3"/>
      <c r="M477" s="3"/>
      <c r="N477" s="70"/>
      <c r="O477" s="1"/>
      <c r="P477" s="3"/>
      <c r="Q477" s="25"/>
      <c r="R477" s="3"/>
      <c r="S477" s="1"/>
      <c r="T477" s="1"/>
      <c r="U477" s="1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81"/>
      <c r="AN477" s="81"/>
      <c r="AO477" s="81"/>
      <c r="AP477" s="81"/>
      <c r="AQ477" s="81"/>
      <c r="AR477" s="81"/>
      <c r="AS477" s="81"/>
      <c r="AT477" s="81"/>
      <c r="AU477" s="81"/>
      <c r="AV477" s="81"/>
      <c r="AW477" s="81"/>
      <c r="AX477" s="81"/>
      <c r="AY477" s="81"/>
      <c r="AZ477" s="81"/>
      <c r="BA477" s="81"/>
      <c r="BB477" s="81"/>
    </row>
    <row r="478">
      <c r="A478" s="3"/>
      <c r="B478" s="3"/>
      <c r="C478" s="3"/>
      <c r="D478" s="141"/>
      <c r="E478" s="70"/>
      <c r="F478" s="3"/>
      <c r="G478" s="3"/>
      <c r="H478" s="3"/>
      <c r="I478" s="3"/>
      <c r="J478" s="3"/>
      <c r="K478" s="3"/>
      <c r="L478" s="3"/>
      <c r="M478" s="3"/>
      <c r="N478" s="70"/>
      <c r="O478" s="3"/>
      <c r="P478" s="3"/>
      <c r="Q478" s="25"/>
      <c r="R478" s="3"/>
      <c r="S478" s="3"/>
      <c r="T478" s="1"/>
      <c r="U478" s="1"/>
      <c r="V478" s="3"/>
      <c r="W478" s="3"/>
      <c r="X478" s="1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81"/>
      <c r="AN478" s="81"/>
      <c r="AO478" s="81"/>
      <c r="AP478" s="81"/>
      <c r="AQ478" s="81"/>
      <c r="AR478" s="81"/>
      <c r="AS478" s="81"/>
      <c r="AT478" s="81"/>
      <c r="AU478" s="81"/>
      <c r="AV478" s="81"/>
      <c r="AW478" s="81"/>
      <c r="AX478" s="81"/>
      <c r="AY478" s="81"/>
      <c r="AZ478" s="81"/>
      <c r="BA478" s="81"/>
      <c r="BB478" s="81"/>
    </row>
    <row r="479">
      <c r="A479" s="3"/>
      <c r="B479" s="3"/>
      <c r="C479" s="3"/>
      <c r="D479" s="70"/>
      <c r="E479" s="70"/>
      <c r="F479" s="3"/>
      <c r="G479" s="3"/>
      <c r="H479" s="3"/>
      <c r="I479" s="3"/>
      <c r="J479" s="3"/>
      <c r="K479" s="3"/>
      <c r="L479" s="3"/>
      <c r="M479" s="3"/>
      <c r="N479" s="70"/>
      <c r="O479" s="3"/>
      <c r="P479" s="3"/>
      <c r="Q479" s="25"/>
      <c r="R479" s="3"/>
      <c r="S479" s="1"/>
      <c r="T479" s="1"/>
      <c r="U479" s="1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81"/>
      <c r="AN479" s="81"/>
      <c r="AO479" s="81"/>
      <c r="AP479" s="81"/>
      <c r="AQ479" s="81"/>
      <c r="AR479" s="81"/>
      <c r="AS479" s="81"/>
      <c r="AT479" s="81"/>
      <c r="AU479" s="81"/>
      <c r="AV479" s="81"/>
      <c r="AW479" s="81"/>
      <c r="AX479" s="81"/>
      <c r="AY479" s="81"/>
      <c r="AZ479" s="81"/>
      <c r="BA479" s="81"/>
      <c r="BB479" s="81"/>
    </row>
    <row r="480">
      <c r="A480" s="3"/>
      <c r="B480" s="3"/>
      <c r="C480" s="3"/>
      <c r="D480" s="141"/>
      <c r="E480" s="70"/>
      <c r="F480" s="3"/>
      <c r="G480" s="3"/>
      <c r="H480" s="3"/>
      <c r="I480" s="3"/>
      <c r="J480" s="3"/>
      <c r="K480" s="3"/>
      <c r="L480" s="3"/>
      <c r="M480" s="3"/>
      <c r="N480" s="70"/>
      <c r="O480" s="3"/>
      <c r="P480" s="3"/>
      <c r="Q480" s="25"/>
      <c r="R480" s="1"/>
      <c r="S480" s="1"/>
      <c r="T480" s="1"/>
      <c r="U480" s="1"/>
      <c r="V480" s="1"/>
      <c r="W480" s="1"/>
      <c r="X480" s="1"/>
      <c r="Y480" s="1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81"/>
      <c r="AN480" s="81"/>
      <c r="AO480" s="81"/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</row>
    <row r="481">
      <c r="A481" s="3"/>
      <c r="B481" s="3"/>
      <c r="C481" s="3"/>
      <c r="D481" s="70"/>
      <c r="E481" s="70"/>
      <c r="F481" s="3"/>
      <c r="G481" s="1"/>
      <c r="H481" s="3"/>
      <c r="I481" s="3"/>
      <c r="J481" s="1"/>
      <c r="K481" s="3"/>
      <c r="L481" s="3"/>
      <c r="M481" s="3"/>
      <c r="N481" s="70"/>
      <c r="O481" s="70"/>
      <c r="P481" s="3"/>
      <c r="Q481" s="25"/>
      <c r="R481" s="3"/>
      <c r="S481" s="1"/>
      <c r="T481" s="1"/>
      <c r="U481" s="1"/>
      <c r="V481" s="3"/>
      <c r="W481" s="3"/>
      <c r="X481" s="1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81"/>
      <c r="AN481" s="81"/>
      <c r="AO481" s="81"/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</row>
    <row r="482">
      <c r="A482" s="3"/>
      <c r="B482" s="3"/>
      <c r="C482" s="3"/>
      <c r="D482" s="70"/>
      <c r="E482" s="70"/>
      <c r="F482" s="3"/>
      <c r="G482" s="3"/>
      <c r="H482" s="3"/>
      <c r="I482" s="3"/>
      <c r="J482" s="3"/>
      <c r="K482" s="3"/>
      <c r="L482" s="3"/>
      <c r="M482" s="3"/>
      <c r="N482" s="70"/>
      <c r="O482" s="70"/>
      <c r="P482" s="3"/>
      <c r="Q482" s="142"/>
      <c r="R482" s="3"/>
      <c r="S482" s="3"/>
      <c r="T482" s="1"/>
      <c r="U482" s="1"/>
      <c r="V482" s="3"/>
      <c r="W482" s="3"/>
      <c r="X482" s="1"/>
      <c r="Y482" s="1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81"/>
      <c r="AN482" s="81"/>
      <c r="AO482" s="81"/>
      <c r="AP482" s="81"/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</row>
    <row r="483">
      <c r="A483" s="3"/>
      <c r="B483" s="3"/>
      <c r="C483" s="3"/>
      <c r="D483" s="70"/>
      <c r="E483" s="70"/>
      <c r="F483" s="3"/>
      <c r="G483" s="3"/>
      <c r="H483" s="3"/>
      <c r="I483" s="3"/>
      <c r="J483" s="1"/>
      <c r="K483" s="3"/>
      <c r="L483" s="3"/>
      <c r="M483" s="3"/>
      <c r="N483" s="70"/>
      <c r="O483" s="70"/>
      <c r="P483" s="3"/>
      <c r="Q483" s="25"/>
      <c r="R483" s="1"/>
      <c r="S483" s="1"/>
      <c r="T483" s="1"/>
      <c r="U483" s="1"/>
      <c r="V483" s="1"/>
      <c r="W483" s="1"/>
      <c r="X483" s="1"/>
      <c r="Y483" s="1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81"/>
      <c r="AN483" s="81"/>
      <c r="AO483" s="81"/>
      <c r="AP483" s="81"/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</row>
    <row r="484">
      <c r="A484" s="3"/>
      <c r="B484" s="3"/>
      <c r="C484" s="3"/>
      <c r="D484" s="105"/>
      <c r="E484" s="70"/>
      <c r="F484" s="1"/>
      <c r="G484" s="3"/>
      <c r="H484" s="3"/>
      <c r="I484" s="3"/>
      <c r="J484" s="3"/>
      <c r="K484" s="3"/>
      <c r="L484" s="3"/>
      <c r="M484" s="3"/>
      <c r="N484" s="70"/>
      <c r="O484" s="70"/>
      <c r="P484" s="3"/>
      <c r="Q484" s="25"/>
      <c r="R484" s="3"/>
      <c r="S484" s="1"/>
      <c r="T484" s="1"/>
      <c r="U484" s="1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81"/>
      <c r="AN484" s="81"/>
      <c r="AO484" s="81"/>
      <c r="AP484" s="81"/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</row>
    <row r="485">
      <c r="A485" s="3"/>
      <c r="B485" s="3"/>
      <c r="C485" s="3"/>
      <c r="D485" s="70"/>
      <c r="E485" s="70"/>
      <c r="F485" s="3"/>
      <c r="G485" s="3"/>
      <c r="H485" s="3"/>
      <c r="I485" s="3"/>
      <c r="J485" s="3"/>
      <c r="K485" s="3"/>
      <c r="L485" s="3"/>
      <c r="M485" s="3"/>
      <c r="N485" s="70"/>
      <c r="O485" s="70"/>
      <c r="P485" s="3"/>
      <c r="Q485" s="25"/>
      <c r="R485" s="3"/>
      <c r="S485" s="1"/>
      <c r="T485" s="1"/>
      <c r="U485" s="1"/>
      <c r="V485" s="3"/>
      <c r="W485" s="3"/>
      <c r="X485" s="1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</row>
    <row r="486">
      <c r="A486" s="3"/>
      <c r="B486" s="3"/>
      <c r="C486" s="3"/>
      <c r="D486" s="141"/>
      <c r="E486" s="70"/>
      <c r="F486" s="3"/>
      <c r="G486" s="3"/>
      <c r="H486" s="3"/>
      <c r="I486" s="3"/>
      <c r="J486" s="1"/>
      <c r="K486" s="3"/>
      <c r="L486" s="3"/>
      <c r="M486" s="3"/>
      <c r="N486" s="70"/>
      <c r="O486" s="3"/>
      <c r="P486" s="3"/>
      <c r="Q486" s="25"/>
      <c r="R486" s="3"/>
      <c r="S486" s="3"/>
      <c r="T486" s="1"/>
      <c r="U486" s="1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81"/>
      <c r="AN486" s="81"/>
      <c r="AO486" s="81"/>
      <c r="AP486" s="81"/>
      <c r="AQ486" s="81"/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</row>
    <row r="487">
      <c r="A487" s="3"/>
      <c r="B487" s="3"/>
      <c r="C487" s="3"/>
      <c r="D487" s="70"/>
      <c r="E487" s="70"/>
      <c r="F487" s="1"/>
      <c r="G487" s="3"/>
      <c r="H487" s="3"/>
      <c r="I487" s="3"/>
      <c r="J487" s="1"/>
      <c r="K487" s="3"/>
      <c r="L487" s="3"/>
      <c r="M487" s="3"/>
      <c r="N487" s="70"/>
      <c r="O487" s="3"/>
      <c r="P487" s="3"/>
      <c r="Q487" s="25"/>
      <c r="R487" s="3"/>
      <c r="S487" s="1"/>
      <c r="T487" s="1"/>
      <c r="U487" s="1"/>
      <c r="V487" s="3"/>
      <c r="W487" s="3"/>
      <c r="X487" s="1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81"/>
      <c r="AN487" s="81"/>
      <c r="AO487" s="81"/>
      <c r="AP487" s="81"/>
      <c r="AQ487" s="81"/>
      <c r="AR487" s="81"/>
      <c r="AS487" s="81"/>
      <c r="AT487" s="81"/>
      <c r="AU487" s="81"/>
      <c r="AV487" s="81"/>
      <c r="AW487" s="81"/>
      <c r="AX487" s="81"/>
      <c r="AY487" s="81"/>
      <c r="AZ487" s="81"/>
      <c r="BA487" s="81"/>
      <c r="BB487" s="81"/>
    </row>
    <row r="488">
      <c r="A488" s="3"/>
      <c r="B488" s="3"/>
      <c r="C488" s="3"/>
      <c r="D488" s="70"/>
      <c r="E488" s="70"/>
      <c r="F488" s="3"/>
      <c r="G488" s="3"/>
      <c r="H488" s="3"/>
      <c r="I488" s="3"/>
      <c r="J488" s="1"/>
      <c r="K488" s="3"/>
      <c r="L488" s="3"/>
      <c r="M488" s="3"/>
      <c r="N488" s="70"/>
      <c r="O488" s="3"/>
      <c r="P488" s="3"/>
      <c r="Q488" s="25"/>
      <c r="R488" s="3"/>
      <c r="S488" s="1"/>
      <c r="T488" s="1"/>
      <c r="U488" s="1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81"/>
      <c r="AN488" s="81"/>
      <c r="AO488" s="81"/>
      <c r="AP488" s="81"/>
      <c r="AQ488" s="81"/>
      <c r="AR488" s="81"/>
      <c r="AS488" s="81"/>
      <c r="AT488" s="81"/>
      <c r="AU488" s="81"/>
      <c r="AV488" s="81"/>
      <c r="AW488" s="81"/>
      <c r="AX488" s="81"/>
      <c r="AY488" s="81"/>
      <c r="AZ488" s="81"/>
      <c r="BA488" s="81"/>
      <c r="BB488" s="81"/>
    </row>
    <row r="489">
      <c r="A489" s="3"/>
      <c r="B489" s="3"/>
      <c r="C489" s="3"/>
      <c r="D489" s="70"/>
      <c r="E489" s="70"/>
      <c r="F489" s="3"/>
      <c r="G489" s="3"/>
      <c r="H489" s="3"/>
      <c r="I489" s="3"/>
      <c r="J489" s="1"/>
      <c r="K489" s="3"/>
      <c r="L489" s="3"/>
      <c r="M489" s="3"/>
      <c r="N489" s="70"/>
      <c r="O489" s="3"/>
      <c r="P489" s="3"/>
      <c r="Q489" s="25"/>
      <c r="R489" s="3"/>
      <c r="S489" s="1"/>
      <c r="T489" s="1"/>
      <c r="U489" s="1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81"/>
      <c r="AN489" s="81"/>
      <c r="AO489" s="81"/>
      <c r="AP489" s="81"/>
      <c r="AQ489" s="81"/>
      <c r="AR489" s="81"/>
      <c r="AS489" s="81"/>
      <c r="AT489" s="81"/>
      <c r="AU489" s="81"/>
      <c r="AV489" s="81"/>
      <c r="AW489" s="81"/>
      <c r="AX489" s="81"/>
      <c r="AY489" s="81"/>
      <c r="AZ489" s="81"/>
      <c r="BA489" s="81"/>
      <c r="BB489" s="81"/>
    </row>
    <row r="490">
      <c r="A490" s="3"/>
      <c r="B490" s="3"/>
      <c r="C490" s="3"/>
      <c r="D490" s="70"/>
      <c r="E490" s="70"/>
      <c r="F490" s="3"/>
      <c r="G490" s="3"/>
      <c r="H490" s="3"/>
      <c r="I490" s="3"/>
      <c r="J490" s="3"/>
      <c r="K490" s="3"/>
      <c r="L490" s="3"/>
      <c r="M490" s="3"/>
      <c r="N490" s="70"/>
      <c r="O490" s="3"/>
      <c r="P490" s="3"/>
      <c r="Q490" s="25"/>
      <c r="R490" s="3"/>
      <c r="S490" s="3"/>
      <c r="T490" s="1"/>
      <c r="U490" s="1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81"/>
      <c r="AN490" s="81"/>
      <c r="AO490" s="81"/>
      <c r="AP490" s="81"/>
      <c r="AQ490" s="81"/>
      <c r="AR490" s="81"/>
      <c r="AS490" s="81"/>
      <c r="AT490" s="81"/>
      <c r="AU490" s="81"/>
      <c r="AV490" s="81"/>
      <c r="AW490" s="81"/>
      <c r="AX490" s="81"/>
      <c r="AY490" s="81"/>
      <c r="AZ490" s="81"/>
      <c r="BA490" s="81"/>
      <c r="BB490" s="81"/>
    </row>
    <row r="491">
      <c r="A491" s="1"/>
      <c r="B491" s="3"/>
      <c r="C491" s="3"/>
      <c r="D491" s="105"/>
      <c r="E491" s="70"/>
      <c r="F491" s="3"/>
      <c r="G491" s="3"/>
      <c r="H491" s="3"/>
      <c r="I491" s="3"/>
      <c r="J491" s="1"/>
      <c r="K491" s="3"/>
      <c r="L491" s="3"/>
      <c r="M491" s="3"/>
      <c r="N491" s="105"/>
      <c r="O491" s="1"/>
      <c r="P491" s="3"/>
      <c r="Q491" s="25"/>
      <c r="R491" s="3"/>
      <c r="S491" s="1"/>
      <c r="T491" s="1"/>
      <c r="U491" s="1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81"/>
      <c r="AN491" s="81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</row>
    <row r="492">
      <c r="A492" s="3"/>
      <c r="B492" s="3"/>
      <c r="C492" s="3"/>
      <c r="D492" s="131"/>
      <c r="E492" s="70"/>
      <c r="F492" s="3"/>
      <c r="G492" s="3"/>
      <c r="H492" s="3"/>
      <c r="I492" s="3"/>
      <c r="J492" s="3"/>
      <c r="K492" s="3"/>
      <c r="L492" s="3"/>
      <c r="M492" s="3"/>
      <c r="N492" s="70"/>
      <c r="O492" s="3"/>
      <c r="P492" s="3"/>
      <c r="Q492" s="25"/>
      <c r="R492" s="3"/>
      <c r="S492" s="1"/>
      <c r="T492" s="1"/>
      <c r="U492" s="1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81"/>
      <c r="AN492" s="81"/>
      <c r="AO492" s="81"/>
      <c r="AP492" s="81"/>
      <c r="AQ492" s="81"/>
      <c r="AR492" s="81"/>
      <c r="AS492" s="81"/>
      <c r="AT492" s="81"/>
      <c r="AU492" s="81"/>
      <c r="AV492" s="81"/>
      <c r="AW492" s="81"/>
      <c r="AX492" s="81"/>
      <c r="AY492" s="81"/>
      <c r="AZ492" s="81"/>
      <c r="BA492" s="81"/>
      <c r="BB492" s="81"/>
    </row>
    <row r="493">
      <c r="A493" s="3"/>
      <c r="B493" s="3"/>
      <c r="C493" s="3"/>
      <c r="D493" s="131"/>
      <c r="E493" s="70"/>
      <c r="F493" s="3"/>
      <c r="G493" s="3"/>
      <c r="H493" s="3"/>
      <c r="I493" s="3"/>
      <c r="J493" s="3"/>
      <c r="K493" s="3"/>
      <c r="L493" s="3"/>
      <c r="M493" s="3"/>
      <c r="N493" s="70"/>
      <c r="O493" s="3"/>
      <c r="P493" s="3"/>
      <c r="Q493" s="25"/>
      <c r="R493" s="3"/>
      <c r="S493" s="1"/>
      <c r="T493" s="1"/>
      <c r="U493" s="1"/>
      <c r="V493" s="1"/>
      <c r="W493" s="1"/>
      <c r="X493" s="1"/>
      <c r="Y493" s="1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81"/>
      <c r="AN493" s="81"/>
      <c r="AO493" s="81"/>
      <c r="AP493" s="81"/>
      <c r="AQ493" s="81"/>
      <c r="AR493" s="81"/>
      <c r="AS493" s="81"/>
      <c r="AT493" s="81"/>
      <c r="AU493" s="81"/>
      <c r="AV493" s="81"/>
      <c r="AW493" s="81"/>
      <c r="AX493" s="81"/>
      <c r="AY493" s="81"/>
      <c r="AZ493" s="81"/>
      <c r="BA493" s="81"/>
      <c r="BB493" s="81"/>
    </row>
    <row r="494">
      <c r="A494" s="3"/>
      <c r="B494" s="3"/>
      <c r="C494" s="3"/>
      <c r="D494" s="131"/>
      <c r="E494" s="70"/>
      <c r="F494" s="1"/>
      <c r="G494" s="1"/>
      <c r="H494" s="3"/>
      <c r="I494" s="3"/>
      <c r="J494" s="3"/>
      <c r="K494" s="3"/>
      <c r="L494" s="3"/>
      <c r="M494" s="3"/>
      <c r="N494" s="70"/>
      <c r="O494" s="3"/>
      <c r="P494" s="3"/>
      <c r="Q494" s="25"/>
      <c r="R494" s="3"/>
      <c r="S494" s="1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81"/>
      <c r="AN494" s="81"/>
      <c r="AO494" s="81"/>
      <c r="AP494" s="81"/>
      <c r="AQ494" s="81"/>
      <c r="AR494" s="81"/>
      <c r="AS494" s="81"/>
      <c r="AT494" s="81"/>
      <c r="AU494" s="81"/>
      <c r="AV494" s="81"/>
      <c r="AW494" s="81"/>
      <c r="AX494" s="81"/>
      <c r="AY494" s="81"/>
      <c r="AZ494" s="81"/>
      <c r="BA494" s="81"/>
      <c r="BB494" s="81"/>
    </row>
    <row r="495">
      <c r="A495" s="3"/>
      <c r="B495" s="3"/>
      <c r="C495" s="3"/>
      <c r="D495" s="105"/>
      <c r="E495" s="70"/>
      <c r="F495" s="3"/>
      <c r="G495" s="3"/>
      <c r="H495" s="3"/>
      <c r="I495" s="3"/>
      <c r="J495" s="3"/>
      <c r="K495" s="3"/>
      <c r="L495" s="3"/>
      <c r="M495" s="3"/>
      <c r="N495" s="70"/>
      <c r="O495" s="3"/>
      <c r="P495" s="3"/>
      <c r="Q495" s="25"/>
      <c r="R495" s="3"/>
      <c r="S495" s="1"/>
      <c r="T495" s="1"/>
      <c r="U495" s="1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81"/>
      <c r="AN495" s="81"/>
      <c r="AO495" s="81"/>
      <c r="AP495" s="81"/>
      <c r="AQ495" s="81"/>
      <c r="AR495" s="81"/>
      <c r="AS495" s="81"/>
      <c r="AT495" s="81"/>
      <c r="AU495" s="81"/>
      <c r="AV495" s="81"/>
      <c r="AW495" s="81"/>
      <c r="AX495" s="81"/>
      <c r="AY495" s="81"/>
      <c r="AZ495" s="81"/>
      <c r="BA495" s="81"/>
      <c r="BB495" s="81"/>
    </row>
    <row r="496">
      <c r="A496" s="3"/>
      <c r="B496" s="3"/>
      <c r="C496" s="3"/>
      <c r="D496" s="140"/>
      <c r="E496" s="70"/>
      <c r="F496" s="3"/>
      <c r="G496" s="3"/>
      <c r="H496" s="3"/>
      <c r="I496" s="3"/>
      <c r="J496" s="3"/>
      <c r="K496" s="3"/>
      <c r="L496" s="3"/>
      <c r="M496" s="3"/>
      <c r="N496" s="70"/>
      <c r="O496" s="3"/>
      <c r="P496" s="3"/>
      <c r="Q496" s="25"/>
      <c r="R496" s="3"/>
      <c r="S496" s="1"/>
      <c r="T496" s="1"/>
      <c r="U496" s="1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81"/>
      <c r="AN496" s="81"/>
      <c r="AO496" s="81"/>
      <c r="AP496" s="81"/>
      <c r="AQ496" s="81"/>
      <c r="AR496" s="81"/>
      <c r="AS496" s="81"/>
      <c r="AT496" s="81"/>
      <c r="AU496" s="81"/>
      <c r="AV496" s="81"/>
      <c r="AW496" s="81"/>
      <c r="AX496" s="81"/>
      <c r="AY496" s="81"/>
      <c r="AZ496" s="81"/>
      <c r="BA496" s="81"/>
      <c r="BB496" s="81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1"/>
      <c r="N497" s="70"/>
      <c r="O497" s="3"/>
      <c r="P497" s="3"/>
      <c r="Q497" s="25"/>
      <c r="R497" s="3"/>
      <c r="S497" s="1"/>
      <c r="T497" s="1"/>
      <c r="U497" s="1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</row>
    <row r="498">
      <c r="A498" s="3"/>
      <c r="B498" s="3"/>
      <c r="C498" s="70"/>
      <c r="D498" s="70"/>
      <c r="E498" s="70"/>
      <c r="F498" s="70"/>
      <c r="G498" s="70"/>
      <c r="H498" s="70"/>
      <c r="I498" s="70"/>
      <c r="J498" s="3"/>
      <c r="K498" s="3"/>
      <c r="L498" s="3"/>
      <c r="M498" s="3"/>
      <c r="N498" s="70"/>
      <c r="O498" s="3"/>
      <c r="P498" s="3"/>
      <c r="Q498" s="25"/>
      <c r="R498" s="3"/>
      <c r="S498" s="1"/>
      <c r="T498" s="1"/>
      <c r="U498" s="1"/>
      <c r="V498" s="3"/>
      <c r="W498" s="1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81"/>
      <c r="AN498" s="81"/>
      <c r="AO498" s="81"/>
      <c r="AP498" s="81"/>
      <c r="AQ498" s="81"/>
      <c r="AR498" s="81"/>
      <c r="AS498" s="81"/>
      <c r="AT498" s="81"/>
      <c r="AU498" s="81"/>
      <c r="AV498" s="81"/>
      <c r="AW498" s="81"/>
      <c r="AX498" s="81"/>
      <c r="AY498" s="81"/>
      <c r="AZ498" s="81"/>
      <c r="BA498" s="81"/>
      <c r="BB498" s="81"/>
    </row>
    <row r="499">
      <c r="A499" s="3"/>
      <c r="B499" s="1"/>
      <c r="C499" s="70"/>
      <c r="D499" s="140"/>
      <c r="E499" s="105"/>
      <c r="F499" s="70"/>
      <c r="G499" s="70"/>
      <c r="H499" s="70"/>
      <c r="I499" s="70"/>
      <c r="J499" s="1"/>
      <c r="K499" s="3"/>
      <c r="L499" s="3"/>
      <c r="M499" s="3"/>
      <c r="N499" s="70"/>
      <c r="O499" s="3"/>
      <c r="P499" s="3"/>
      <c r="Q499" s="25"/>
      <c r="R499" s="3"/>
      <c r="S499" s="1"/>
      <c r="T499" s="1"/>
      <c r="U499" s="1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81"/>
      <c r="AN499" s="81"/>
      <c r="AO499" s="81"/>
      <c r="AP499" s="81"/>
      <c r="AQ499" s="81"/>
      <c r="AR499" s="81"/>
      <c r="AS499" s="81"/>
      <c r="AT499" s="81"/>
      <c r="AU499" s="81"/>
      <c r="AV499" s="81"/>
      <c r="AW499" s="81"/>
      <c r="AX499" s="81"/>
      <c r="AY499" s="81"/>
      <c r="AZ499" s="81"/>
      <c r="BA499" s="81"/>
      <c r="BB499" s="81"/>
    </row>
    <row r="500">
      <c r="A500" s="3"/>
      <c r="B500" s="3"/>
      <c r="C500" s="70"/>
      <c r="D500" s="70"/>
      <c r="E500" s="70"/>
      <c r="F500" s="70"/>
      <c r="G500" s="70"/>
      <c r="H500" s="70"/>
      <c r="I500" s="70"/>
      <c r="J500" s="3"/>
      <c r="K500" s="3"/>
      <c r="L500" s="3"/>
      <c r="M500" s="3"/>
      <c r="N500" s="70"/>
      <c r="O500" s="3"/>
      <c r="P500" s="3"/>
      <c r="Q500" s="25"/>
      <c r="R500" s="3"/>
      <c r="S500" s="1"/>
      <c r="T500" s="3"/>
      <c r="U500" s="1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81"/>
      <c r="AN500" s="81"/>
      <c r="AO500" s="81"/>
      <c r="AP500" s="81"/>
      <c r="AQ500" s="81"/>
      <c r="AR500" s="81"/>
      <c r="AS500" s="81"/>
      <c r="AT500" s="81"/>
      <c r="AU500" s="81"/>
      <c r="AV500" s="81"/>
      <c r="AW500" s="81"/>
      <c r="AX500" s="81"/>
      <c r="AY500" s="81"/>
      <c r="AZ500" s="81"/>
      <c r="BA500" s="81"/>
      <c r="BB500" s="81"/>
    </row>
    <row r="501">
      <c r="A501" s="3"/>
      <c r="B501" s="3"/>
      <c r="C501" s="70"/>
      <c r="D501" s="131"/>
      <c r="E501" s="70"/>
      <c r="F501" s="70"/>
      <c r="G501" s="70"/>
      <c r="H501" s="70"/>
      <c r="I501" s="70"/>
      <c r="J501" s="3"/>
      <c r="K501" s="3"/>
      <c r="L501" s="3"/>
      <c r="M501" s="3"/>
      <c r="N501" s="70"/>
      <c r="O501" s="3"/>
      <c r="P501" s="3"/>
      <c r="Q501" s="25"/>
      <c r="R501" s="1"/>
      <c r="S501" s="1"/>
      <c r="T501" s="1"/>
      <c r="U501" s="1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81"/>
      <c r="AN501" s="81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1"/>
      <c r="AZ501" s="81"/>
      <c r="BA501" s="81"/>
      <c r="BB501" s="81"/>
    </row>
    <row r="502">
      <c r="A502" s="3"/>
      <c r="B502" s="3"/>
      <c r="C502" s="70"/>
      <c r="D502" s="70"/>
      <c r="E502" s="70"/>
      <c r="F502" s="70"/>
      <c r="G502" s="70"/>
      <c r="H502" s="70"/>
      <c r="I502" s="70"/>
      <c r="J502" s="105"/>
      <c r="K502" s="70"/>
      <c r="L502" s="3"/>
      <c r="M502" s="1"/>
      <c r="N502" s="70"/>
      <c r="O502" s="3"/>
      <c r="P502" s="3"/>
      <c r="Q502" s="25"/>
      <c r="R502" s="3"/>
      <c r="S502" s="1"/>
      <c r="T502" s="1"/>
      <c r="U502" s="1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81"/>
      <c r="AN502" s="81"/>
      <c r="AO502" s="81"/>
      <c r="AP502" s="81"/>
      <c r="AQ502" s="81"/>
      <c r="AR502" s="81"/>
      <c r="AS502" s="81"/>
      <c r="AT502" s="81"/>
      <c r="AU502" s="81"/>
      <c r="AV502" s="81"/>
      <c r="AW502" s="81"/>
      <c r="AX502" s="81"/>
      <c r="AY502" s="81"/>
      <c r="AZ502" s="81"/>
      <c r="BA502" s="81"/>
      <c r="BB502" s="81"/>
    </row>
    <row r="503">
      <c r="A503" s="3"/>
      <c r="B503" s="3"/>
      <c r="C503" s="70"/>
      <c r="D503" s="131"/>
      <c r="E503" s="70"/>
      <c r="F503" s="70"/>
      <c r="G503" s="70"/>
      <c r="H503" s="70"/>
      <c r="I503" s="70"/>
      <c r="J503" s="70"/>
      <c r="K503" s="70"/>
      <c r="L503" s="3"/>
      <c r="M503" s="3"/>
      <c r="N503" s="70"/>
      <c r="O503" s="3"/>
      <c r="P503" s="3"/>
      <c r="Q503" s="25"/>
      <c r="R503" s="3"/>
      <c r="S503" s="1"/>
      <c r="T503" s="1"/>
      <c r="U503" s="1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81"/>
      <c r="AN503" s="81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1"/>
      <c r="AZ503" s="81"/>
      <c r="BA503" s="81"/>
      <c r="BB503" s="81"/>
    </row>
    <row r="504">
      <c r="A504" s="3"/>
      <c r="B504" s="3"/>
      <c r="C504" s="3"/>
      <c r="D504" s="112"/>
      <c r="E504" s="70"/>
      <c r="F504" s="70"/>
      <c r="G504" s="70"/>
      <c r="H504" s="70"/>
      <c r="I504" s="70"/>
      <c r="J504" s="105"/>
      <c r="K504" s="70"/>
      <c r="L504" s="3"/>
      <c r="M504" s="3"/>
      <c r="N504" s="70"/>
      <c r="O504" s="3"/>
      <c r="P504" s="3"/>
      <c r="Q504" s="25"/>
      <c r="R504" s="3"/>
      <c r="S504" s="1"/>
      <c r="T504" s="1"/>
      <c r="U504" s="1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81"/>
      <c r="AN504" s="81"/>
      <c r="AO504" s="81"/>
      <c r="AP504" s="81"/>
      <c r="AQ504" s="81"/>
      <c r="AR504" s="81"/>
      <c r="AS504" s="81"/>
      <c r="AT504" s="81"/>
      <c r="AU504" s="81"/>
      <c r="AV504" s="81"/>
      <c r="AW504" s="81"/>
      <c r="AX504" s="81"/>
      <c r="AY504" s="81"/>
      <c r="AZ504" s="81"/>
      <c r="BA504" s="81"/>
      <c r="BB504" s="81"/>
    </row>
    <row r="505">
      <c r="A505" s="3"/>
      <c r="B505" s="3"/>
      <c r="C505" s="3"/>
      <c r="D505" s="131"/>
      <c r="E505" s="70"/>
      <c r="F505" s="70"/>
      <c r="G505" s="70"/>
      <c r="H505" s="70"/>
      <c r="I505" s="70"/>
      <c r="J505" s="105"/>
      <c r="K505" s="70"/>
      <c r="L505" s="3"/>
      <c r="M505" s="3"/>
      <c r="N505" s="70"/>
      <c r="O505" s="3"/>
      <c r="P505" s="3"/>
      <c r="Q505" s="25"/>
      <c r="R505" s="3"/>
      <c r="S505" s="1"/>
      <c r="T505" s="1"/>
      <c r="U505" s="1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81"/>
      <c r="AN505" s="81"/>
      <c r="AO505" s="81"/>
      <c r="AP505" s="81"/>
      <c r="AQ505" s="81"/>
      <c r="AR505" s="81"/>
      <c r="AS505" s="81"/>
      <c r="AT505" s="81"/>
      <c r="AU505" s="81"/>
      <c r="AV505" s="81"/>
      <c r="AW505" s="81"/>
      <c r="AX505" s="81"/>
      <c r="AY505" s="81"/>
      <c r="AZ505" s="81"/>
      <c r="BA505" s="81"/>
      <c r="BB505" s="81"/>
    </row>
    <row r="506">
      <c r="A506" s="3"/>
      <c r="B506" s="3"/>
      <c r="C506" s="3"/>
      <c r="D506" s="141"/>
      <c r="E506" s="70"/>
      <c r="F506" s="70"/>
      <c r="G506" s="70"/>
      <c r="H506" s="70"/>
      <c r="I506" s="70"/>
      <c r="J506" s="70"/>
      <c r="K506" s="70"/>
      <c r="L506" s="3"/>
      <c r="M506" s="3"/>
      <c r="N506" s="70"/>
      <c r="O506" s="3"/>
      <c r="P506" s="3"/>
      <c r="Q506" s="142"/>
      <c r="R506" s="3"/>
      <c r="S506" s="1"/>
      <c r="T506" s="1"/>
      <c r="U506" s="1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81"/>
      <c r="AN506" s="81"/>
      <c r="AO506" s="81"/>
      <c r="AP506" s="81"/>
      <c r="AQ506" s="81"/>
      <c r="AR506" s="81"/>
      <c r="AS506" s="81"/>
      <c r="AT506" s="81"/>
      <c r="AU506" s="81"/>
      <c r="AV506" s="81"/>
      <c r="AW506" s="81"/>
      <c r="AX506" s="81"/>
      <c r="AY506" s="81"/>
      <c r="AZ506" s="81"/>
      <c r="BA506" s="81"/>
      <c r="BB506" s="81"/>
    </row>
    <row r="507">
      <c r="A507" s="3"/>
      <c r="B507" s="3"/>
      <c r="C507" s="3"/>
      <c r="D507" s="130"/>
      <c r="E507" s="70"/>
      <c r="F507" s="70"/>
      <c r="G507" s="70"/>
      <c r="H507" s="70"/>
      <c r="I507" s="70"/>
      <c r="J507" s="105"/>
      <c r="K507" s="70"/>
      <c r="L507" s="3"/>
      <c r="M507" s="3"/>
      <c r="N507" s="70"/>
      <c r="O507" s="3"/>
      <c r="P507" s="3"/>
      <c r="Q507" s="25"/>
      <c r="R507" s="3"/>
      <c r="S507" s="1"/>
      <c r="T507" s="1"/>
      <c r="U507" s="1"/>
      <c r="V507" s="3"/>
      <c r="W507" s="1"/>
      <c r="X507" s="1"/>
      <c r="Y507" s="1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81"/>
      <c r="AN507" s="81"/>
      <c r="AO507" s="81"/>
      <c r="AP507" s="81"/>
      <c r="AQ507" s="81"/>
      <c r="AR507" s="81"/>
      <c r="AS507" s="81"/>
      <c r="AT507" s="81"/>
      <c r="AU507" s="81"/>
      <c r="AV507" s="81"/>
      <c r="AW507" s="81"/>
      <c r="AX507" s="81"/>
      <c r="AY507" s="81"/>
      <c r="AZ507" s="81"/>
      <c r="BA507" s="81"/>
      <c r="BB507" s="81"/>
    </row>
    <row r="508">
      <c r="A508" s="3"/>
      <c r="B508" s="3"/>
      <c r="C508" s="3"/>
      <c r="D508" s="131"/>
      <c r="E508" s="70"/>
      <c r="F508" s="70"/>
      <c r="G508" s="70"/>
      <c r="H508" s="70"/>
      <c r="I508" s="70"/>
      <c r="J508" s="105"/>
      <c r="K508" s="70"/>
      <c r="L508" s="3"/>
      <c r="M508" s="3"/>
      <c r="N508" s="70"/>
      <c r="O508" s="3"/>
      <c r="P508" s="3"/>
      <c r="Q508" s="25"/>
      <c r="R508" s="3"/>
      <c r="S508" s="1"/>
      <c r="T508" s="1"/>
      <c r="U508" s="1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81"/>
      <c r="AN508" s="81"/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/>
      <c r="BA508" s="81"/>
      <c r="BB508" s="81"/>
    </row>
    <row r="509">
      <c r="A509" s="3"/>
      <c r="B509" s="3"/>
      <c r="C509" s="3"/>
      <c r="D509" s="140"/>
      <c r="E509" s="70"/>
      <c r="F509" s="70"/>
      <c r="G509" s="70"/>
      <c r="H509" s="70"/>
      <c r="I509" s="70"/>
      <c r="J509" s="70"/>
      <c r="K509" s="70"/>
      <c r="L509" s="3"/>
      <c r="M509" s="3"/>
      <c r="N509" s="70"/>
      <c r="O509" s="3"/>
      <c r="P509" s="3"/>
      <c r="Q509" s="25"/>
      <c r="R509" s="3"/>
      <c r="S509" s="3"/>
      <c r="T509" s="1"/>
      <c r="U509" s="1"/>
      <c r="V509" s="3"/>
      <c r="W509" s="3"/>
      <c r="X509" s="1"/>
      <c r="Y509" s="1"/>
      <c r="Z509" s="3"/>
      <c r="AA509" s="3"/>
      <c r="AB509" s="3"/>
      <c r="AC509" s="3"/>
      <c r="AD509" s="1"/>
      <c r="AE509" s="3"/>
      <c r="AF509" s="3"/>
      <c r="AG509" s="3"/>
      <c r="AH509" s="3"/>
      <c r="AI509" s="3"/>
      <c r="AJ509" s="3"/>
      <c r="AK509" s="3"/>
      <c r="AL509" s="3"/>
      <c r="AM509" s="81"/>
      <c r="AN509" s="81"/>
      <c r="AO509" s="81"/>
      <c r="AP509" s="81"/>
      <c r="AQ509" s="81"/>
      <c r="AR509" s="81"/>
      <c r="AS509" s="81"/>
      <c r="AT509" s="81"/>
      <c r="AU509" s="81"/>
      <c r="AV509" s="81"/>
      <c r="AW509" s="81"/>
      <c r="AX509" s="81"/>
      <c r="AY509" s="81"/>
      <c r="AZ509" s="81"/>
      <c r="BA509" s="81"/>
      <c r="BB509" s="81"/>
    </row>
    <row r="510">
      <c r="A510" s="3"/>
      <c r="B510" s="3"/>
      <c r="C510" s="3"/>
      <c r="D510" s="70"/>
      <c r="E510" s="70"/>
      <c r="F510" s="70"/>
      <c r="G510" s="70"/>
      <c r="H510" s="70"/>
      <c r="I510" s="70"/>
      <c r="J510" s="105"/>
      <c r="K510" s="70"/>
      <c r="L510" s="3"/>
      <c r="M510" s="3"/>
      <c r="N510" s="105"/>
      <c r="O510" s="1"/>
      <c r="P510" s="3"/>
      <c r="Q510" s="25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81"/>
      <c r="AN510" s="81"/>
      <c r="AO510" s="81"/>
      <c r="AP510" s="81"/>
      <c r="AQ510" s="81"/>
      <c r="AR510" s="81"/>
      <c r="AS510" s="81"/>
      <c r="AT510" s="81"/>
      <c r="AU510" s="81"/>
      <c r="AV510" s="81"/>
      <c r="AW510" s="81"/>
      <c r="AX510" s="81"/>
      <c r="AY510" s="81"/>
      <c r="AZ510" s="81"/>
      <c r="BA510" s="81"/>
      <c r="BB510" s="81"/>
    </row>
    <row r="511">
      <c r="A511" s="3"/>
      <c r="B511" s="3"/>
      <c r="C511" s="3"/>
      <c r="D511" s="131"/>
      <c r="E511" s="70"/>
      <c r="F511" s="70"/>
      <c r="G511" s="70"/>
      <c r="H511" s="70"/>
      <c r="I511" s="105"/>
      <c r="J511" s="105"/>
      <c r="K511" s="70"/>
      <c r="L511" s="3"/>
      <c r="M511" s="3"/>
      <c r="N511" s="70"/>
      <c r="O511" s="3"/>
      <c r="P511" s="3"/>
      <c r="Q511" s="25"/>
      <c r="R511" s="1"/>
      <c r="S511" s="1"/>
      <c r="T511" s="1"/>
      <c r="U511" s="1"/>
      <c r="V511" s="1"/>
      <c r="W511" s="1"/>
      <c r="X511" s="1"/>
      <c r="Y511" s="1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81"/>
      <c r="AN511" s="81"/>
      <c r="AO511" s="81"/>
      <c r="AP511" s="81"/>
      <c r="AQ511" s="81"/>
      <c r="AR511" s="81"/>
      <c r="AS511" s="81"/>
      <c r="AT511" s="81"/>
      <c r="AU511" s="81"/>
      <c r="AV511" s="81"/>
      <c r="AW511" s="81"/>
      <c r="AX511" s="81"/>
      <c r="AY511" s="81"/>
      <c r="AZ511" s="81"/>
      <c r="BA511" s="81"/>
      <c r="BB511" s="81"/>
    </row>
    <row r="512">
      <c r="A512" s="134"/>
      <c r="B512" s="3"/>
      <c r="C512" s="3"/>
      <c r="D512" s="131"/>
      <c r="E512" s="70"/>
      <c r="F512" s="70"/>
      <c r="G512" s="70"/>
      <c r="H512" s="70"/>
      <c r="I512" s="70"/>
      <c r="J512" s="105"/>
      <c r="K512" s="70"/>
      <c r="L512" s="3"/>
      <c r="M512" s="3"/>
      <c r="N512" s="105"/>
      <c r="O512" s="1"/>
      <c r="P512" s="3"/>
      <c r="Q512" s="25"/>
      <c r="R512" s="1"/>
      <c r="S512" s="1"/>
      <c r="T512" s="1"/>
      <c r="U512" s="1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81"/>
      <c r="AN512" s="81"/>
      <c r="AO512" s="81"/>
      <c r="AP512" s="81"/>
      <c r="AQ512" s="81"/>
      <c r="AR512" s="81"/>
      <c r="AS512" s="81"/>
      <c r="AT512" s="81"/>
      <c r="AU512" s="81"/>
      <c r="AV512" s="81"/>
      <c r="AW512" s="81"/>
      <c r="AX512" s="81"/>
      <c r="AY512" s="81"/>
      <c r="AZ512" s="81"/>
      <c r="BA512" s="81"/>
      <c r="BB512" s="81"/>
    </row>
    <row r="513">
      <c r="A513" s="3"/>
      <c r="B513" s="3"/>
      <c r="C513" s="3"/>
      <c r="D513" s="140"/>
      <c r="E513" s="70"/>
      <c r="F513" s="70"/>
      <c r="G513" s="70"/>
      <c r="H513" s="70"/>
      <c r="I513" s="105"/>
      <c r="J513" s="70"/>
      <c r="K513" s="70"/>
      <c r="L513" s="3"/>
      <c r="M513" s="3"/>
      <c r="N513" s="70"/>
      <c r="O513" s="3"/>
      <c r="P513" s="3"/>
      <c r="Q513" s="25"/>
      <c r="R513" s="3"/>
      <c r="S513" s="1"/>
      <c r="T513" s="1"/>
      <c r="U513" s="1"/>
      <c r="V513" s="1"/>
      <c r="W513" s="1"/>
      <c r="X513" s="1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81"/>
      <c r="AN513" s="81"/>
      <c r="AO513" s="81"/>
      <c r="AP513" s="81"/>
      <c r="AQ513" s="81"/>
      <c r="AR513" s="81"/>
      <c r="AS513" s="81"/>
      <c r="AT513" s="81"/>
      <c r="AU513" s="81"/>
      <c r="AV513" s="81"/>
      <c r="AW513" s="81"/>
      <c r="AX513" s="81"/>
      <c r="AY513" s="81"/>
      <c r="AZ513" s="81"/>
      <c r="BA513" s="81"/>
      <c r="BB513" s="81"/>
    </row>
    <row r="514">
      <c r="A514" s="3"/>
      <c r="B514" s="3"/>
      <c r="C514" s="3"/>
      <c r="D514" s="70"/>
      <c r="E514" s="70"/>
      <c r="F514" s="70"/>
      <c r="G514" s="105"/>
      <c r="H514" s="70"/>
      <c r="I514" s="70"/>
      <c r="J514" s="105"/>
      <c r="K514" s="70"/>
      <c r="L514" s="3"/>
      <c r="M514" s="3"/>
      <c r="N514" s="70"/>
      <c r="O514" s="3"/>
      <c r="P514" s="3"/>
      <c r="Q514" s="25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81"/>
      <c r="AN514" s="81"/>
      <c r="AO514" s="81"/>
      <c r="AP514" s="81"/>
      <c r="AQ514" s="81"/>
      <c r="AR514" s="81"/>
      <c r="AS514" s="81"/>
      <c r="AT514" s="81"/>
      <c r="AU514" s="81"/>
      <c r="AV514" s="81"/>
      <c r="AW514" s="81"/>
      <c r="AX514" s="81"/>
      <c r="AY514" s="81"/>
      <c r="AZ514" s="81"/>
      <c r="BA514" s="81"/>
      <c r="BB514" s="81"/>
    </row>
    <row r="515">
      <c r="A515" s="3"/>
      <c r="B515" s="3"/>
      <c r="C515" s="3"/>
      <c r="D515" s="70"/>
      <c r="E515" s="70"/>
      <c r="F515" s="70"/>
      <c r="G515" s="70"/>
      <c r="H515" s="70"/>
      <c r="I515" s="70"/>
      <c r="J515" s="105"/>
      <c r="K515" s="70"/>
      <c r="L515" s="3"/>
      <c r="M515" s="3"/>
      <c r="N515" s="70"/>
      <c r="O515" s="3"/>
      <c r="P515" s="3"/>
      <c r="Q515" s="25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81"/>
      <c r="AN515" s="81"/>
      <c r="AO515" s="81"/>
      <c r="AP515" s="81"/>
      <c r="AQ515" s="81"/>
      <c r="AR515" s="81"/>
      <c r="AS515" s="81"/>
      <c r="AT515" s="81"/>
      <c r="AU515" s="81"/>
      <c r="AV515" s="81"/>
      <c r="AW515" s="81"/>
      <c r="AX515" s="81"/>
      <c r="AY515" s="81"/>
      <c r="AZ515" s="81"/>
      <c r="BA515" s="81"/>
      <c r="BB515" s="81"/>
    </row>
    <row r="516">
      <c r="A516" s="3"/>
      <c r="B516" s="3"/>
      <c r="C516" s="3"/>
      <c r="D516" s="70"/>
      <c r="E516" s="70"/>
      <c r="F516" s="70"/>
      <c r="G516" s="70"/>
      <c r="H516" s="70"/>
      <c r="I516" s="70"/>
      <c r="J516" s="105"/>
      <c r="K516" s="70"/>
      <c r="L516" s="3"/>
      <c r="M516" s="3"/>
      <c r="N516" s="70"/>
      <c r="O516" s="3"/>
      <c r="P516" s="3"/>
      <c r="Q516" s="25"/>
      <c r="R516" s="3"/>
      <c r="S516" s="1"/>
      <c r="T516" s="1"/>
      <c r="U516" s="1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81"/>
      <c r="AN516" s="81"/>
      <c r="AO516" s="81"/>
      <c r="AP516" s="81"/>
      <c r="AQ516" s="81"/>
      <c r="AR516" s="81"/>
      <c r="AS516" s="81"/>
      <c r="AT516" s="81"/>
      <c r="AU516" s="81"/>
      <c r="AV516" s="81"/>
      <c r="AW516" s="81"/>
      <c r="AX516" s="81"/>
      <c r="AY516" s="81"/>
      <c r="AZ516" s="81"/>
      <c r="BA516" s="81"/>
      <c r="BB516" s="81"/>
    </row>
    <row r="517">
      <c r="A517" s="3"/>
      <c r="B517" s="3"/>
      <c r="C517" s="3"/>
      <c r="D517" s="70"/>
      <c r="E517" s="70"/>
      <c r="F517" s="70"/>
      <c r="G517" s="70"/>
      <c r="H517" s="70"/>
      <c r="I517" s="70"/>
      <c r="J517" s="105"/>
      <c r="K517" s="70"/>
      <c r="L517" s="3"/>
      <c r="M517" s="3"/>
      <c r="N517" s="70"/>
      <c r="O517" s="3"/>
      <c r="P517" s="3"/>
      <c r="Q517" s="25"/>
      <c r="R517" s="3"/>
      <c r="S517" s="1"/>
      <c r="T517" s="1"/>
      <c r="U517" s="1"/>
      <c r="V517" s="3"/>
      <c r="W517" s="3"/>
      <c r="X517" s="1"/>
      <c r="Y517" s="1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81"/>
      <c r="AN517" s="81"/>
      <c r="AO517" s="81"/>
      <c r="AP517" s="81"/>
      <c r="AQ517" s="81"/>
      <c r="AR517" s="81"/>
      <c r="AS517" s="81"/>
      <c r="AT517" s="81"/>
      <c r="AU517" s="81"/>
      <c r="AV517" s="81"/>
      <c r="AW517" s="81"/>
      <c r="AX517" s="81"/>
      <c r="AY517" s="81"/>
      <c r="AZ517" s="81"/>
      <c r="BA517" s="81"/>
      <c r="BB517" s="81"/>
    </row>
    <row r="518">
      <c r="A518" s="1"/>
      <c r="B518" s="3"/>
      <c r="C518" s="3"/>
      <c r="D518" s="105"/>
      <c r="E518" s="70"/>
      <c r="F518" s="70"/>
      <c r="G518" s="70"/>
      <c r="H518" s="70"/>
      <c r="I518" s="70"/>
      <c r="J518" s="70"/>
      <c r="K518" s="70"/>
      <c r="L518" s="3"/>
      <c r="M518" s="3"/>
      <c r="N518" s="70"/>
      <c r="O518" s="3"/>
      <c r="P518" s="3"/>
      <c r="Q518" s="25"/>
      <c r="R518" s="3"/>
      <c r="S518" s="1"/>
      <c r="T518" s="1"/>
      <c r="U518" s="1"/>
      <c r="V518" s="3"/>
      <c r="W518" s="3"/>
      <c r="X518" s="1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81"/>
      <c r="AN518" s="81"/>
      <c r="AO518" s="81"/>
      <c r="AP518" s="81"/>
      <c r="AQ518" s="81"/>
      <c r="AR518" s="81"/>
      <c r="AS518" s="81"/>
      <c r="AT518" s="81"/>
      <c r="AU518" s="81"/>
      <c r="AV518" s="81"/>
      <c r="AW518" s="81"/>
      <c r="AX518" s="81"/>
      <c r="AY518" s="81"/>
      <c r="AZ518" s="81"/>
      <c r="BA518" s="81"/>
      <c r="BB518" s="81"/>
    </row>
    <row r="519">
      <c r="A519" s="3"/>
      <c r="B519" s="3"/>
      <c r="C519" s="3"/>
      <c r="D519" s="70"/>
      <c r="E519" s="70"/>
      <c r="F519" s="70"/>
      <c r="G519" s="70"/>
      <c r="H519" s="70"/>
      <c r="I519" s="70"/>
      <c r="J519" s="70"/>
      <c r="K519" s="70"/>
      <c r="L519" s="3"/>
      <c r="M519" s="3"/>
      <c r="N519" s="70"/>
      <c r="O519" s="3"/>
      <c r="P519" s="3"/>
      <c r="Q519" s="25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81"/>
      <c r="AN519" s="81"/>
      <c r="AO519" s="81"/>
      <c r="AP519" s="81"/>
      <c r="AQ519" s="81"/>
      <c r="AR519" s="81"/>
      <c r="AS519" s="81"/>
      <c r="AT519" s="81"/>
      <c r="AU519" s="81"/>
      <c r="AV519" s="81"/>
      <c r="AW519" s="81"/>
      <c r="AX519" s="81"/>
      <c r="AY519" s="81"/>
      <c r="AZ519" s="81"/>
      <c r="BA519" s="81"/>
      <c r="BB519" s="81"/>
    </row>
    <row r="520">
      <c r="A520" s="3"/>
      <c r="B520" s="3"/>
      <c r="C520" s="3"/>
      <c r="D520" s="70"/>
      <c r="E520" s="70"/>
      <c r="F520" s="70"/>
      <c r="G520" s="70"/>
      <c r="H520" s="70"/>
      <c r="I520" s="70"/>
      <c r="J520" s="105"/>
      <c r="K520" s="70"/>
      <c r="L520" s="3"/>
      <c r="M520" s="3"/>
      <c r="N520" s="70"/>
      <c r="O520" s="3"/>
      <c r="P520" s="3"/>
      <c r="Q520" s="25"/>
      <c r="R520" s="3"/>
      <c r="S520" s="1"/>
      <c r="T520" s="1"/>
      <c r="U520" s="1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81"/>
      <c r="AN520" s="81"/>
      <c r="AO520" s="81"/>
      <c r="AP520" s="81"/>
      <c r="AQ520" s="81"/>
      <c r="AR520" s="81"/>
      <c r="AS520" s="81"/>
      <c r="AT520" s="81"/>
      <c r="AU520" s="81"/>
      <c r="AV520" s="81"/>
      <c r="AW520" s="81"/>
      <c r="AX520" s="81"/>
      <c r="AY520" s="81"/>
      <c r="AZ520" s="81"/>
      <c r="BA520" s="81"/>
      <c r="BB520" s="81"/>
    </row>
    <row r="521">
      <c r="A521" s="3"/>
      <c r="B521" s="3"/>
      <c r="C521" s="3"/>
      <c r="D521" s="70"/>
      <c r="E521" s="70"/>
      <c r="F521" s="70"/>
      <c r="G521" s="70"/>
      <c r="H521" s="70"/>
      <c r="I521" s="70"/>
      <c r="J521" s="105"/>
      <c r="K521" s="70"/>
      <c r="L521" s="3"/>
      <c r="M521" s="1"/>
      <c r="N521" s="70"/>
      <c r="O521" s="3"/>
      <c r="P521" s="3"/>
      <c r="Q521" s="25"/>
      <c r="R521" s="1"/>
      <c r="S521" s="3"/>
      <c r="T521" s="1"/>
      <c r="U521" s="1"/>
      <c r="V521" s="3"/>
      <c r="W521" s="1"/>
      <c r="X521" s="1"/>
      <c r="Y521" s="1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81"/>
      <c r="AN521" s="81"/>
      <c r="AO521" s="81"/>
      <c r="AP521" s="81"/>
      <c r="AQ521" s="81"/>
      <c r="AR521" s="81"/>
      <c r="AS521" s="81"/>
      <c r="AT521" s="81"/>
      <c r="AU521" s="81"/>
      <c r="AV521" s="81"/>
      <c r="AW521" s="81"/>
      <c r="AX521" s="81"/>
      <c r="AY521" s="81"/>
      <c r="AZ521" s="81"/>
      <c r="BA521" s="81"/>
      <c r="BB521" s="81"/>
    </row>
    <row r="522">
      <c r="A522" s="3"/>
      <c r="B522" s="3"/>
      <c r="C522" s="3"/>
      <c r="D522" s="105"/>
      <c r="E522" s="70"/>
      <c r="F522" s="70"/>
      <c r="G522" s="70"/>
      <c r="H522" s="70"/>
      <c r="I522" s="70"/>
      <c r="J522" s="105"/>
      <c r="K522" s="70"/>
      <c r="L522" s="3"/>
      <c r="M522" s="3"/>
      <c r="N522" s="70"/>
      <c r="O522" s="3"/>
      <c r="P522" s="3"/>
      <c r="Q522" s="25"/>
      <c r="R522" s="1"/>
      <c r="S522" s="1"/>
      <c r="T522" s="1"/>
      <c r="U522" s="1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81"/>
      <c r="AN522" s="81"/>
      <c r="AO522" s="81"/>
      <c r="AP522" s="81"/>
      <c r="AQ522" s="81"/>
      <c r="AR522" s="81"/>
      <c r="AS522" s="81"/>
      <c r="AT522" s="81"/>
      <c r="AU522" s="81"/>
      <c r="AV522" s="81"/>
      <c r="AW522" s="81"/>
      <c r="AX522" s="81"/>
      <c r="AY522" s="81"/>
      <c r="AZ522" s="81"/>
      <c r="BA522" s="81"/>
      <c r="BB522" s="81"/>
    </row>
    <row r="523">
      <c r="A523" s="3"/>
      <c r="B523" s="3"/>
      <c r="C523" s="3"/>
      <c r="D523" s="70"/>
      <c r="E523" s="70"/>
      <c r="F523" s="70"/>
      <c r="G523" s="70"/>
      <c r="H523" s="70"/>
      <c r="I523" s="70"/>
      <c r="J523" s="105"/>
      <c r="K523" s="70"/>
      <c r="L523" s="3"/>
      <c r="M523" s="3"/>
      <c r="N523" s="70"/>
      <c r="O523" s="3"/>
      <c r="P523" s="3"/>
      <c r="Q523" s="25"/>
      <c r="R523" s="3"/>
      <c r="S523" s="1"/>
      <c r="T523" s="1"/>
      <c r="U523" s="1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81"/>
      <c r="AN523" s="81"/>
      <c r="AO523" s="81"/>
      <c r="AP523" s="81"/>
      <c r="AQ523" s="81"/>
      <c r="AR523" s="81"/>
      <c r="AS523" s="81"/>
      <c r="AT523" s="81"/>
      <c r="AU523" s="81"/>
      <c r="AV523" s="81"/>
      <c r="AW523" s="81"/>
      <c r="AX523" s="81"/>
      <c r="AY523" s="81"/>
      <c r="AZ523" s="81"/>
      <c r="BA523" s="81"/>
      <c r="BB523" s="81"/>
    </row>
    <row r="524">
      <c r="A524" s="1"/>
      <c r="B524" s="3"/>
      <c r="C524" s="3"/>
      <c r="D524" s="105"/>
      <c r="E524" s="70"/>
      <c r="F524" s="70"/>
      <c r="G524" s="70"/>
      <c r="H524" s="70"/>
      <c r="I524" s="70"/>
      <c r="J524" s="105"/>
      <c r="K524" s="70"/>
      <c r="L524" s="3"/>
      <c r="M524" s="3"/>
      <c r="N524" s="70"/>
      <c r="O524" s="3"/>
      <c r="P524" s="3"/>
      <c r="Q524" s="25"/>
      <c r="R524" s="1"/>
      <c r="S524" s="1"/>
      <c r="T524" s="1"/>
      <c r="U524" s="1"/>
      <c r="V524" s="3"/>
      <c r="W524" s="1"/>
      <c r="X524" s="1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81"/>
      <c r="AN524" s="81"/>
      <c r="AO524" s="81"/>
      <c r="AP524" s="81"/>
      <c r="AQ524" s="81"/>
      <c r="AR524" s="81"/>
      <c r="AS524" s="81"/>
      <c r="AT524" s="81"/>
      <c r="AU524" s="81"/>
      <c r="AV524" s="81"/>
      <c r="AW524" s="81"/>
      <c r="AX524" s="81"/>
      <c r="AY524" s="81"/>
      <c r="AZ524" s="81"/>
      <c r="BA524" s="81"/>
      <c r="BB524" s="81"/>
    </row>
    <row r="525">
      <c r="A525" s="3"/>
      <c r="B525" s="3"/>
      <c r="C525" s="3"/>
      <c r="D525" s="131"/>
      <c r="E525" s="70"/>
      <c r="F525" s="70"/>
      <c r="G525" s="70"/>
      <c r="H525" s="70"/>
      <c r="I525" s="70"/>
      <c r="J525" s="70"/>
      <c r="K525" s="70"/>
      <c r="L525" s="3"/>
      <c r="M525" s="3"/>
      <c r="N525" s="70"/>
      <c r="O525" s="3"/>
      <c r="P525" s="3"/>
      <c r="Q525" s="25"/>
      <c r="R525" s="3"/>
      <c r="S525" s="1"/>
      <c r="T525" s="1"/>
      <c r="U525" s="1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81"/>
      <c r="AN525" s="81"/>
      <c r="AO525" s="81"/>
      <c r="AP525" s="81"/>
      <c r="AQ525" s="81"/>
      <c r="AR525" s="81"/>
      <c r="AS525" s="81"/>
      <c r="AT525" s="81"/>
      <c r="AU525" s="81"/>
      <c r="AV525" s="81"/>
      <c r="AW525" s="81"/>
      <c r="AX525" s="81"/>
      <c r="AY525" s="81"/>
      <c r="AZ525" s="81"/>
      <c r="BA525" s="81"/>
      <c r="BB525" s="81"/>
    </row>
    <row r="526">
      <c r="A526" s="3"/>
      <c r="B526" s="3"/>
      <c r="C526" s="3"/>
      <c r="D526" s="105"/>
      <c r="E526" s="70"/>
      <c r="F526" s="70"/>
      <c r="G526" s="70"/>
      <c r="H526" s="70"/>
      <c r="I526" s="70"/>
      <c r="J526" s="70"/>
      <c r="K526" s="70"/>
      <c r="L526" s="3"/>
      <c r="M526" s="3"/>
      <c r="N526" s="70"/>
      <c r="O526" s="3"/>
      <c r="P526" s="3"/>
      <c r="Q526" s="142"/>
      <c r="R526" s="1"/>
      <c r="S526" s="1"/>
      <c r="T526" s="1"/>
      <c r="U526" s="1"/>
      <c r="V526" s="3"/>
      <c r="W526" s="1"/>
      <c r="X526" s="1"/>
      <c r="Y526" s="1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81"/>
      <c r="AN526" s="81"/>
      <c r="AO526" s="81"/>
      <c r="AP526" s="81"/>
      <c r="AQ526" s="81"/>
      <c r="AR526" s="81"/>
      <c r="AS526" s="81"/>
      <c r="AT526" s="81"/>
      <c r="AU526" s="81"/>
      <c r="AV526" s="81"/>
      <c r="AW526" s="81"/>
      <c r="AX526" s="81"/>
      <c r="AY526" s="81"/>
      <c r="AZ526" s="81"/>
      <c r="BA526" s="81"/>
      <c r="BB526" s="81"/>
    </row>
    <row r="527">
      <c r="A527" s="3"/>
      <c r="B527" s="3"/>
      <c r="C527" s="3"/>
      <c r="D527" s="70"/>
      <c r="E527" s="70"/>
      <c r="F527" s="70"/>
      <c r="G527" s="70"/>
      <c r="H527" s="70"/>
      <c r="I527" s="70"/>
      <c r="J527" s="70"/>
      <c r="K527" s="70"/>
      <c r="L527" s="3"/>
      <c r="M527" s="3"/>
      <c r="N527" s="70"/>
      <c r="O527" s="3"/>
      <c r="P527" s="3"/>
      <c r="Q527" s="25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81"/>
      <c r="AN527" s="81"/>
      <c r="AO527" s="81"/>
      <c r="AP527" s="81"/>
      <c r="AQ527" s="81"/>
      <c r="AR527" s="81"/>
      <c r="AS527" s="81"/>
      <c r="AT527" s="81"/>
      <c r="AU527" s="81"/>
      <c r="AV527" s="81"/>
      <c r="AW527" s="81"/>
      <c r="AX527" s="81"/>
      <c r="AY527" s="81"/>
      <c r="AZ527" s="81"/>
      <c r="BA527" s="81"/>
      <c r="BB527" s="81"/>
    </row>
    <row r="528">
      <c r="A528" s="3"/>
      <c r="B528" s="3"/>
      <c r="C528" s="3"/>
      <c r="D528" s="70"/>
      <c r="E528" s="70"/>
      <c r="F528" s="70"/>
      <c r="G528" s="70"/>
      <c r="H528" s="70"/>
      <c r="I528" s="105"/>
      <c r="J528" s="70"/>
      <c r="K528" s="70"/>
      <c r="L528" s="3"/>
      <c r="M528" s="3"/>
      <c r="N528" s="70"/>
      <c r="O528" s="3"/>
      <c r="P528" s="3"/>
      <c r="Q528" s="142"/>
      <c r="R528" s="3"/>
      <c r="S528" s="1"/>
      <c r="T528" s="1"/>
      <c r="U528" s="1"/>
      <c r="V528" s="3"/>
      <c r="W528" s="1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81"/>
      <c r="AN528" s="81"/>
      <c r="AO528" s="81"/>
      <c r="AP528" s="81"/>
      <c r="AQ528" s="81"/>
      <c r="AR528" s="81"/>
      <c r="AS528" s="81"/>
      <c r="AT528" s="81"/>
      <c r="AU528" s="81"/>
      <c r="AV528" s="81"/>
      <c r="AW528" s="81"/>
      <c r="AX528" s="81"/>
      <c r="AY528" s="81"/>
      <c r="AZ528" s="81"/>
      <c r="BA528" s="81"/>
      <c r="BB528" s="81"/>
    </row>
    <row r="529">
      <c r="A529" s="3"/>
      <c r="B529" s="3"/>
      <c r="C529" s="3"/>
      <c r="D529" s="122"/>
      <c r="E529" s="70"/>
      <c r="F529" s="70"/>
      <c r="G529" s="70"/>
      <c r="H529" s="70"/>
      <c r="I529" s="70"/>
      <c r="J529" s="70"/>
      <c r="K529" s="70"/>
      <c r="L529" s="3"/>
      <c r="M529" s="3"/>
      <c r="N529" s="70"/>
      <c r="O529" s="1"/>
      <c r="P529" s="3"/>
      <c r="Q529" s="25"/>
      <c r="R529" s="1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107"/>
      <c r="AN529" s="81"/>
      <c r="AO529" s="81"/>
      <c r="AP529" s="81"/>
      <c r="AQ529" s="81"/>
      <c r="AR529" s="81"/>
      <c r="AS529" s="81"/>
      <c r="AT529" s="81"/>
      <c r="AU529" s="81"/>
      <c r="AV529" s="81"/>
      <c r="AW529" s="81"/>
      <c r="AX529" s="81"/>
      <c r="AY529" s="81"/>
      <c r="AZ529" s="81"/>
      <c r="BA529" s="81"/>
      <c r="BB529" s="81"/>
    </row>
    <row r="530">
      <c r="A530" s="3"/>
      <c r="B530" s="3"/>
      <c r="C530" s="3"/>
      <c r="D530" s="105"/>
      <c r="E530" s="70"/>
      <c r="F530" s="70"/>
      <c r="G530" s="70"/>
      <c r="H530" s="70"/>
      <c r="I530" s="70"/>
      <c r="J530" s="105"/>
      <c r="K530" s="70"/>
      <c r="L530" s="3"/>
      <c r="M530" s="3"/>
      <c r="N530" s="70"/>
      <c r="O530" s="3"/>
      <c r="P530" s="3"/>
      <c r="Q530" s="25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81"/>
      <c r="AN530" s="81"/>
      <c r="AO530" s="81"/>
      <c r="AP530" s="81"/>
      <c r="AQ530" s="81"/>
      <c r="AR530" s="81"/>
      <c r="AS530" s="81"/>
      <c r="AT530" s="81"/>
      <c r="AU530" s="81"/>
      <c r="AV530" s="81"/>
      <c r="AW530" s="81"/>
      <c r="AX530" s="81"/>
      <c r="AY530" s="81"/>
      <c r="AZ530" s="81"/>
      <c r="BA530" s="81"/>
      <c r="BB530" s="81"/>
    </row>
    <row r="531">
      <c r="A531" s="1"/>
      <c r="B531" s="3"/>
      <c r="C531" s="3"/>
      <c r="D531" s="131"/>
      <c r="E531" s="70"/>
      <c r="F531" s="70"/>
      <c r="G531" s="70"/>
      <c r="H531" s="70"/>
      <c r="I531" s="70"/>
      <c r="J531" s="70"/>
      <c r="K531" s="70"/>
      <c r="L531" s="3"/>
      <c r="M531" s="3"/>
      <c r="N531" s="105"/>
      <c r="O531" s="1"/>
      <c r="P531" s="3"/>
      <c r="Q531" s="25"/>
      <c r="R531" s="1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81"/>
      <c r="AN531" s="81"/>
      <c r="AO531" s="81"/>
      <c r="AP531" s="81"/>
      <c r="AQ531" s="81"/>
      <c r="AR531" s="81"/>
      <c r="AS531" s="81"/>
      <c r="AT531" s="81"/>
      <c r="AU531" s="81"/>
      <c r="AV531" s="81"/>
      <c r="AW531" s="81"/>
      <c r="AX531" s="81"/>
      <c r="AY531" s="81"/>
      <c r="AZ531" s="81"/>
      <c r="BA531" s="81"/>
      <c r="BB531" s="81"/>
    </row>
    <row r="532">
      <c r="A532" s="3"/>
      <c r="B532" s="3"/>
      <c r="C532" s="3"/>
      <c r="D532" s="122"/>
      <c r="E532" s="70"/>
      <c r="F532" s="70"/>
      <c r="G532" s="70"/>
      <c r="H532" s="70"/>
      <c r="I532" s="70"/>
      <c r="J532" s="70"/>
      <c r="K532" s="70"/>
      <c r="L532" s="3"/>
      <c r="M532" s="3"/>
      <c r="N532" s="70"/>
      <c r="O532" s="3"/>
      <c r="P532" s="3"/>
      <c r="Q532" s="25"/>
      <c r="R532" s="3"/>
      <c r="S532" s="1"/>
      <c r="T532" s="1"/>
      <c r="U532" s="1"/>
      <c r="V532" s="3"/>
      <c r="W532" s="3"/>
      <c r="X532" s="1"/>
      <c r="Y532" s="1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81"/>
      <c r="AN532" s="81"/>
      <c r="AO532" s="81"/>
      <c r="AP532" s="81"/>
      <c r="AQ532" s="81"/>
      <c r="AR532" s="81"/>
      <c r="AS532" s="81"/>
      <c r="AT532" s="81"/>
      <c r="AU532" s="81"/>
      <c r="AV532" s="81"/>
      <c r="AW532" s="81"/>
      <c r="AX532" s="81"/>
      <c r="AY532" s="81"/>
      <c r="AZ532" s="81"/>
      <c r="BA532" s="81"/>
      <c r="BB532" s="81"/>
    </row>
    <row r="533">
      <c r="A533" s="3"/>
      <c r="B533" s="1"/>
      <c r="C533" s="3"/>
      <c r="D533" s="132"/>
      <c r="E533" s="70"/>
      <c r="F533" s="70"/>
      <c r="G533" s="70"/>
      <c r="H533" s="70"/>
      <c r="I533" s="70"/>
      <c r="J533" s="105"/>
      <c r="K533" s="70"/>
      <c r="L533" s="3"/>
      <c r="M533" s="3"/>
      <c r="N533" s="105"/>
      <c r="O533" s="3"/>
      <c r="P533" s="3"/>
      <c r="Q533" s="25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81"/>
      <c r="AN533" s="81"/>
      <c r="AO533" s="81"/>
      <c r="AP533" s="81"/>
      <c r="AQ533" s="81"/>
      <c r="AR533" s="81"/>
      <c r="AS533" s="81"/>
      <c r="AT533" s="81"/>
      <c r="AU533" s="81"/>
      <c r="AV533" s="81"/>
      <c r="AW533" s="81"/>
      <c r="AX533" s="81"/>
      <c r="AY533" s="81"/>
      <c r="AZ533" s="81"/>
      <c r="BA533" s="81"/>
      <c r="BB533" s="81"/>
    </row>
    <row r="534">
      <c r="A534" s="3"/>
      <c r="B534" s="3"/>
      <c r="C534" s="3"/>
      <c r="D534" s="70"/>
      <c r="E534" s="70"/>
      <c r="F534" s="70"/>
      <c r="G534" s="70"/>
      <c r="H534" s="70"/>
      <c r="I534" s="70"/>
      <c r="J534" s="70"/>
      <c r="K534" s="70"/>
      <c r="L534" s="3"/>
      <c r="M534" s="3"/>
      <c r="N534" s="70"/>
      <c r="O534" s="3"/>
      <c r="P534" s="3"/>
      <c r="Q534" s="25"/>
      <c r="R534" s="3"/>
      <c r="S534" s="1"/>
      <c r="T534" s="1"/>
      <c r="U534" s="1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81"/>
      <c r="AN534" s="81"/>
      <c r="AO534" s="81"/>
      <c r="AP534" s="81"/>
      <c r="AQ534" s="81"/>
      <c r="AR534" s="81"/>
      <c r="AS534" s="81"/>
      <c r="AT534" s="81"/>
      <c r="AU534" s="81"/>
      <c r="AV534" s="81"/>
      <c r="AW534" s="81"/>
      <c r="AX534" s="81"/>
      <c r="AY534" s="81"/>
      <c r="AZ534" s="81"/>
      <c r="BA534" s="81"/>
      <c r="BB534" s="81"/>
    </row>
    <row r="535">
      <c r="A535" s="1"/>
      <c r="B535" s="3"/>
      <c r="C535" s="3"/>
      <c r="D535" s="70"/>
      <c r="E535" s="70"/>
      <c r="F535" s="70"/>
      <c r="G535" s="70"/>
      <c r="H535" s="70"/>
      <c r="I535" s="105"/>
      <c r="J535" s="70"/>
      <c r="K535" s="70"/>
      <c r="L535" s="3"/>
      <c r="M535" s="3"/>
      <c r="N535" s="70"/>
      <c r="O535" s="3"/>
      <c r="P535" s="3"/>
      <c r="Q535" s="25"/>
      <c r="R535" s="3"/>
      <c r="S535" s="1"/>
      <c r="T535" s="1"/>
      <c r="U535" s="1"/>
      <c r="V535" s="3"/>
      <c r="W535" s="1"/>
      <c r="X535" s="1"/>
      <c r="Y535" s="1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81"/>
      <c r="AN535" s="81"/>
      <c r="AO535" s="81"/>
      <c r="AP535" s="81"/>
      <c r="AQ535" s="81"/>
      <c r="AR535" s="81"/>
      <c r="AS535" s="81"/>
      <c r="AT535" s="81"/>
      <c r="AU535" s="81"/>
      <c r="AV535" s="81"/>
      <c r="AW535" s="81"/>
      <c r="AX535" s="81"/>
      <c r="AY535" s="81"/>
      <c r="AZ535" s="81"/>
      <c r="BA535" s="81"/>
      <c r="BB535" s="81"/>
    </row>
    <row r="536">
      <c r="A536" s="3"/>
      <c r="B536" s="3"/>
      <c r="C536" s="3"/>
      <c r="D536" s="70"/>
      <c r="E536" s="70"/>
      <c r="F536" s="70"/>
      <c r="G536" s="70"/>
      <c r="H536" s="70"/>
      <c r="I536" s="70"/>
      <c r="J536" s="105"/>
      <c r="K536" s="70"/>
      <c r="L536" s="3"/>
      <c r="M536" s="3"/>
      <c r="N536" s="70"/>
      <c r="O536" s="3"/>
      <c r="P536" s="3"/>
      <c r="Q536" s="25"/>
      <c r="R536" s="3"/>
      <c r="S536" s="1"/>
      <c r="T536" s="1"/>
      <c r="U536" s="1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81"/>
      <c r="AN536" s="81"/>
      <c r="AO536" s="81"/>
      <c r="AP536" s="81"/>
      <c r="AQ536" s="81"/>
      <c r="AR536" s="81"/>
      <c r="AS536" s="81"/>
      <c r="AT536" s="81"/>
      <c r="AU536" s="81"/>
      <c r="AV536" s="81"/>
      <c r="AW536" s="81"/>
      <c r="AX536" s="81"/>
      <c r="AY536" s="81"/>
      <c r="AZ536" s="81"/>
      <c r="BA536" s="81"/>
      <c r="BB536" s="81"/>
    </row>
    <row r="537">
      <c r="A537" s="3"/>
      <c r="B537" s="3"/>
      <c r="C537" s="3"/>
      <c r="D537" s="70"/>
      <c r="E537" s="70"/>
      <c r="F537" s="70"/>
      <c r="G537" s="70"/>
      <c r="H537" s="70"/>
      <c r="I537" s="70"/>
      <c r="J537" s="105"/>
      <c r="K537" s="70"/>
      <c r="L537" s="3"/>
      <c r="M537" s="3"/>
      <c r="N537" s="105"/>
      <c r="O537" s="3"/>
      <c r="P537" s="3"/>
      <c r="Q537" s="25"/>
      <c r="R537" s="1"/>
      <c r="S537" s="1"/>
      <c r="T537" s="1"/>
      <c r="U537" s="1"/>
      <c r="V537" s="1"/>
      <c r="W537" s="1"/>
      <c r="X537" s="1"/>
      <c r="Y537" s="1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81"/>
      <c r="AN537" s="81"/>
      <c r="AO537" s="81"/>
      <c r="AP537" s="81"/>
      <c r="AQ537" s="81"/>
      <c r="AR537" s="81"/>
      <c r="AS537" s="81"/>
      <c r="AT537" s="81"/>
      <c r="AU537" s="81"/>
      <c r="AV537" s="81"/>
      <c r="AW537" s="81"/>
      <c r="AX537" s="81"/>
      <c r="AY537" s="81"/>
      <c r="AZ537" s="81"/>
      <c r="BA537" s="81"/>
      <c r="BB537" s="81"/>
    </row>
    <row r="538">
      <c r="A538" s="3"/>
      <c r="B538" s="3"/>
      <c r="C538" s="3"/>
      <c r="D538" s="141"/>
      <c r="E538" s="70"/>
      <c r="F538" s="70"/>
      <c r="G538" s="70"/>
      <c r="H538" s="70"/>
      <c r="I538" s="70"/>
      <c r="J538" s="105"/>
      <c r="K538" s="70"/>
      <c r="L538" s="3"/>
      <c r="M538" s="3"/>
      <c r="N538" s="70"/>
      <c r="O538" s="3"/>
      <c r="P538" s="3"/>
      <c r="Q538" s="25"/>
      <c r="R538" s="3"/>
      <c r="S538" s="1"/>
      <c r="T538" s="1"/>
      <c r="U538" s="1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81"/>
      <c r="AN538" s="81"/>
      <c r="AO538" s="81"/>
      <c r="AP538" s="81"/>
      <c r="AQ538" s="81"/>
      <c r="AR538" s="81"/>
      <c r="AS538" s="81"/>
      <c r="AT538" s="81"/>
      <c r="AU538" s="81"/>
      <c r="AV538" s="81"/>
      <c r="AW538" s="81"/>
      <c r="AX538" s="81"/>
      <c r="AY538" s="81"/>
      <c r="AZ538" s="81"/>
      <c r="BA538" s="81"/>
      <c r="BB538" s="81"/>
    </row>
    <row r="539">
      <c r="A539" s="1"/>
      <c r="B539" s="3"/>
      <c r="C539" s="3"/>
      <c r="D539" s="105"/>
      <c r="E539" s="70"/>
      <c r="F539" s="70"/>
      <c r="G539" s="70"/>
      <c r="H539" s="70"/>
      <c r="I539" s="70"/>
      <c r="J539" s="70"/>
      <c r="K539" s="70"/>
      <c r="L539" s="3"/>
      <c r="M539" s="3"/>
      <c r="N539" s="70"/>
      <c r="O539" s="3"/>
      <c r="P539" s="3"/>
      <c r="Q539" s="25"/>
      <c r="R539" s="3"/>
      <c r="S539" s="1"/>
      <c r="T539" s="1"/>
      <c r="U539" s="3"/>
      <c r="V539" s="3"/>
      <c r="W539" s="3"/>
      <c r="X539" s="1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81"/>
      <c r="AN539" s="81"/>
      <c r="AO539" s="81"/>
      <c r="AP539" s="81"/>
      <c r="AQ539" s="81"/>
      <c r="AR539" s="81"/>
      <c r="AS539" s="81"/>
      <c r="AT539" s="81"/>
      <c r="AU539" s="81"/>
      <c r="AV539" s="81"/>
      <c r="AW539" s="81"/>
      <c r="AX539" s="81"/>
      <c r="AY539" s="81"/>
      <c r="AZ539" s="81"/>
      <c r="BA539" s="81"/>
      <c r="BB539" s="81"/>
    </row>
    <row r="540">
      <c r="A540" s="3"/>
      <c r="B540" s="3"/>
      <c r="C540" s="3"/>
      <c r="D540" s="140"/>
      <c r="E540" s="70"/>
      <c r="F540" s="70"/>
      <c r="G540" s="70"/>
      <c r="H540" s="70"/>
      <c r="I540" s="70"/>
      <c r="J540" s="105"/>
      <c r="K540" s="70"/>
      <c r="L540" s="3"/>
      <c r="M540" s="3"/>
      <c r="N540" s="70"/>
      <c r="O540" s="3"/>
      <c r="P540" s="3"/>
      <c r="Q540" s="25"/>
      <c r="R540" s="1"/>
      <c r="S540" s="1"/>
      <c r="T540" s="1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81"/>
      <c r="AN540" s="81"/>
      <c r="AO540" s="81"/>
      <c r="AP540" s="81"/>
      <c r="AQ540" s="81"/>
      <c r="AR540" s="81"/>
      <c r="AS540" s="81"/>
      <c r="AT540" s="81"/>
      <c r="AU540" s="81"/>
      <c r="AV540" s="81"/>
      <c r="AW540" s="81"/>
      <c r="AX540" s="81"/>
      <c r="AY540" s="81"/>
      <c r="AZ540" s="81"/>
      <c r="BA540" s="81"/>
      <c r="BB540" s="81"/>
    </row>
    <row r="541">
      <c r="A541" s="1"/>
      <c r="B541" s="3"/>
      <c r="C541" s="3"/>
      <c r="D541" s="70"/>
      <c r="E541" s="70"/>
      <c r="F541" s="70"/>
      <c r="G541" s="70"/>
      <c r="H541" s="70"/>
      <c r="I541" s="70"/>
      <c r="J541" s="70"/>
      <c r="K541" s="70"/>
      <c r="L541" s="3"/>
      <c r="M541" s="3"/>
      <c r="N541" s="105"/>
      <c r="O541" s="1"/>
      <c r="P541" s="3"/>
      <c r="Q541" s="25"/>
      <c r="R541" s="1"/>
      <c r="S541" s="1"/>
      <c r="T541" s="1"/>
      <c r="U541" s="1"/>
      <c r="V541" s="3"/>
      <c r="W541" s="1"/>
      <c r="X541" s="1"/>
      <c r="Y541" s="1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81"/>
      <c r="AN541" s="81"/>
      <c r="AO541" s="81"/>
      <c r="AP541" s="81"/>
      <c r="AQ541" s="81"/>
      <c r="AR541" s="81"/>
      <c r="AS541" s="81"/>
      <c r="AT541" s="81"/>
      <c r="AU541" s="81"/>
      <c r="AV541" s="81"/>
      <c r="AW541" s="81"/>
      <c r="AX541" s="81"/>
      <c r="AY541" s="81"/>
      <c r="AZ541" s="81"/>
      <c r="BA541" s="81"/>
      <c r="BB541" s="81"/>
    </row>
    <row r="542">
      <c r="A542" s="3"/>
      <c r="B542" s="3"/>
      <c r="C542" s="3"/>
      <c r="D542" s="70"/>
      <c r="E542" s="70"/>
      <c r="F542" s="70"/>
      <c r="G542" s="70"/>
      <c r="H542" s="70"/>
      <c r="I542" s="105"/>
      <c r="J542" s="70"/>
      <c r="K542" s="70"/>
      <c r="L542" s="3"/>
      <c r="M542" s="3"/>
      <c r="N542" s="70"/>
      <c r="O542" s="3"/>
      <c r="P542" s="3"/>
      <c r="Q542" s="25"/>
      <c r="R542" s="1"/>
      <c r="S542" s="1"/>
      <c r="T542" s="1"/>
      <c r="U542" s="1"/>
      <c r="V542" s="3"/>
      <c r="W542" s="1"/>
      <c r="X542" s="1"/>
      <c r="Y542" s="1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81"/>
      <c r="AN542" s="81"/>
      <c r="AO542" s="81"/>
      <c r="AP542" s="81"/>
      <c r="AQ542" s="81"/>
      <c r="AR542" s="81"/>
      <c r="AS542" s="81"/>
      <c r="AT542" s="81"/>
      <c r="AU542" s="81"/>
      <c r="AV542" s="81"/>
      <c r="AW542" s="81"/>
      <c r="AX542" s="81"/>
      <c r="AY542" s="81"/>
      <c r="AZ542" s="81"/>
      <c r="BA542" s="81"/>
      <c r="BB542" s="81"/>
    </row>
    <row r="543">
      <c r="A543" s="3"/>
      <c r="B543" s="3"/>
      <c r="C543" s="3"/>
      <c r="D543" s="70"/>
      <c r="E543" s="70"/>
      <c r="F543" s="70"/>
      <c r="G543" s="70"/>
      <c r="H543" s="70"/>
      <c r="I543" s="105"/>
      <c r="J543" s="70"/>
      <c r="K543" s="70"/>
      <c r="L543" s="3"/>
      <c r="M543" s="3"/>
      <c r="N543" s="70"/>
      <c r="O543" s="3"/>
      <c r="P543" s="3"/>
      <c r="Q543" s="25"/>
      <c r="R543" s="1"/>
      <c r="S543" s="1"/>
      <c r="T543" s="1"/>
      <c r="U543" s="1"/>
      <c r="V543" s="3"/>
      <c r="W543" s="1"/>
      <c r="X543" s="1"/>
      <c r="Y543" s="1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81"/>
      <c r="AN543" s="81"/>
      <c r="AO543" s="81"/>
      <c r="AP543" s="81"/>
      <c r="AQ543" s="81"/>
      <c r="AR543" s="81"/>
      <c r="AS543" s="81"/>
      <c r="AT543" s="81"/>
      <c r="AU543" s="81"/>
      <c r="AV543" s="81"/>
      <c r="AW543" s="81"/>
      <c r="AX543" s="81"/>
      <c r="AY543" s="81"/>
      <c r="AZ543" s="81"/>
      <c r="BA543" s="81"/>
      <c r="BB543" s="81"/>
    </row>
    <row r="544">
      <c r="A544" s="3"/>
      <c r="B544" s="3"/>
      <c r="C544" s="3"/>
      <c r="D544" s="70"/>
      <c r="E544" s="70"/>
      <c r="F544" s="70"/>
      <c r="G544" s="70"/>
      <c r="H544" s="70"/>
      <c r="I544" s="70"/>
      <c r="J544" s="105"/>
      <c r="K544" s="70"/>
      <c r="L544" s="3"/>
      <c r="M544" s="3"/>
      <c r="N544" s="70"/>
      <c r="O544" s="3"/>
      <c r="P544" s="3"/>
      <c r="Q544" s="25"/>
      <c r="R544" s="3"/>
      <c r="S544" s="1"/>
      <c r="T544" s="1"/>
      <c r="U544" s="1"/>
      <c r="V544" s="3"/>
      <c r="W544" s="3"/>
      <c r="X544" s="1"/>
      <c r="Y544" s="1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81"/>
      <c r="AN544" s="81"/>
      <c r="AO544" s="81"/>
      <c r="AP544" s="81"/>
      <c r="AQ544" s="81"/>
      <c r="AR544" s="81"/>
      <c r="AS544" s="81"/>
      <c r="AT544" s="81"/>
      <c r="AU544" s="81"/>
      <c r="AV544" s="81"/>
      <c r="AW544" s="81"/>
      <c r="AX544" s="81"/>
      <c r="AY544" s="81"/>
      <c r="AZ544" s="81"/>
      <c r="BA544" s="81"/>
      <c r="BB544" s="81"/>
    </row>
    <row r="545">
      <c r="A545" s="3"/>
      <c r="B545" s="3"/>
      <c r="C545" s="3"/>
      <c r="D545" s="70"/>
      <c r="E545" s="70"/>
      <c r="F545" s="70"/>
      <c r="G545" s="70"/>
      <c r="H545" s="70"/>
      <c r="I545" s="70"/>
      <c r="J545" s="105"/>
      <c r="K545" s="70"/>
      <c r="L545" s="3"/>
      <c r="M545" s="3"/>
      <c r="N545" s="70"/>
      <c r="O545" s="3"/>
      <c r="P545" s="3"/>
      <c r="Q545" s="25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81"/>
      <c r="AN545" s="81"/>
      <c r="AO545" s="81"/>
      <c r="AP545" s="81"/>
      <c r="AQ545" s="81"/>
      <c r="AR545" s="81"/>
      <c r="AS545" s="81"/>
      <c r="AT545" s="81"/>
      <c r="AU545" s="81"/>
      <c r="AV545" s="81"/>
      <c r="AW545" s="81"/>
      <c r="AX545" s="81"/>
      <c r="AY545" s="81"/>
      <c r="AZ545" s="81"/>
      <c r="BA545" s="81"/>
      <c r="BB545" s="81"/>
    </row>
    <row r="546">
      <c r="A546" s="1"/>
      <c r="B546" s="3"/>
      <c r="C546" s="1"/>
      <c r="D546" s="70"/>
      <c r="E546" s="70"/>
      <c r="F546" s="105"/>
      <c r="G546" s="70"/>
      <c r="H546" s="70"/>
      <c r="I546" s="105"/>
      <c r="J546" s="105"/>
      <c r="K546" s="70"/>
      <c r="L546" s="3"/>
      <c r="M546" s="3"/>
      <c r="N546" s="70"/>
      <c r="O546" s="3"/>
      <c r="P546" s="3"/>
      <c r="Q546" s="25"/>
      <c r="R546" s="1"/>
      <c r="S546" s="1"/>
      <c r="T546" s="1"/>
      <c r="U546" s="1"/>
      <c r="V546" s="3"/>
      <c r="W546" s="1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81"/>
      <c r="AN546" s="81"/>
      <c r="AO546" s="81"/>
      <c r="AP546" s="81"/>
      <c r="AQ546" s="81"/>
      <c r="AR546" s="81"/>
      <c r="AS546" s="81"/>
      <c r="AT546" s="81"/>
      <c r="AU546" s="81"/>
      <c r="AV546" s="81"/>
      <c r="AW546" s="81"/>
      <c r="AX546" s="81"/>
      <c r="AY546" s="81"/>
      <c r="AZ546" s="81"/>
      <c r="BA546" s="81"/>
      <c r="BB546" s="81"/>
    </row>
    <row r="547">
      <c r="A547" s="3"/>
      <c r="B547" s="3"/>
      <c r="C547" s="3"/>
      <c r="D547" s="3"/>
      <c r="E547" s="3"/>
      <c r="F547" s="3"/>
      <c r="G547" s="1"/>
      <c r="H547" s="3"/>
      <c r="I547" s="3"/>
      <c r="J547" s="1"/>
      <c r="K547" s="3"/>
      <c r="L547" s="3"/>
      <c r="M547" s="3"/>
      <c r="N547" s="70"/>
      <c r="O547" s="3"/>
      <c r="P547" s="3"/>
      <c r="Q547" s="25"/>
      <c r="R547" s="3"/>
      <c r="S547" s="1"/>
      <c r="T547" s="1"/>
      <c r="U547" s="1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81"/>
      <c r="AN547" s="81"/>
      <c r="AO547" s="81"/>
      <c r="AP547" s="81"/>
      <c r="AQ547" s="81"/>
      <c r="AR547" s="81"/>
      <c r="AS547" s="81"/>
      <c r="AT547" s="81"/>
      <c r="AU547" s="81"/>
      <c r="AV547" s="81"/>
      <c r="AW547" s="81"/>
      <c r="AX547" s="81"/>
      <c r="AY547" s="81"/>
      <c r="AZ547" s="81"/>
      <c r="BA547" s="81"/>
      <c r="BB547" s="81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70"/>
      <c r="O548" s="3"/>
      <c r="P548" s="3"/>
      <c r="Q548" s="25"/>
      <c r="R548" s="3"/>
      <c r="S548" s="1"/>
      <c r="T548" s="1"/>
      <c r="U548" s="1"/>
      <c r="V548" s="3"/>
      <c r="W548" s="3"/>
      <c r="X548" s="1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81"/>
      <c r="AN548" s="81"/>
      <c r="AO548" s="81"/>
      <c r="AP548" s="81"/>
      <c r="AQ548" s="81"/>
      <c r="AR548" s="81"/>
      <c r="AS548" s="81"/>
      <c r="AT548" s="81"/>
      <c r="AU548" s="81"/>
      <c r="AV548" s="81"/>
      <c r="AW548" s="81"/>
      <c r="AX548" s="81"/>
      <c r="AY548" s="81"/>
      <c r="AZ548" s="81"/>
      <c r="BA548" s="81"/>
      <c r="BB548" s="81"/>
    </row>
    <row r="549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70"/>
      <c r="O549" s="3"/>
      <c r="P549" s="3"/>
      <c r="Q549" s="25"/>
      <c r="R549" s="3"/>
      <c r="S549" s="1"/>
      <c r="T549" s="1"/>
      <c r="U549" s="1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81"/>
      <c r="AN549" s="81"/>
      <c r="AO549" s="81"/>
      <c r="AP549" s="81"/>
      <c r="AQ549" s="81"/>
      <c r="AR549" s="81"/>
      <c r="AS549" s="81"/>
      <c r="AT549" s="81"/>
      <c r="AU549" s="81"/>
      <c r="AV549" s="81"/>
      <c r="AW549" s="81"/>
      <c r="AX549" s="81"/>
      <c r="AY549" s="81"/>
      <c r="AZ549" s="81"/>
      <c r="BA549" s="81"/>
      <c r="BB549" s="81"/>
    </row>
    <row r="550">
      <c r="A550" s="3"/>
      <c r="B550" s="3"/>
      <c r="C550" s="3"/>
      <c r="D550" s="3"/>
      <c r="E550" s="3"/>
      <c r="F550" s="3"/>
      <c r="G550" s="1"/>
      <c r="H550" s="3"/>
      <c r="I550" s="3"/>
      <c r="J550" s="1"/>
      <c r="K550" s="3"/>
      <c r="L550" s="3"/>
      <c r="M550" s="3"/>
      <c r="N550" s="70"/>
      <c r="O550" s="3"/>
      <c r="P550" s="3"/>
      <c r="Q550" s="25"/>
      <c r="R550" s="1"/>
      <c r="S550" s="1"/>
      <c r="T550" s="1"/>
      <c r="U550" s="1"/>
      <c r="V550" s="3"/>
      <c r="W550" s="1"/>
      <c r="X550" s="1"/>
      <c r="Y550" s="1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81"/>
      <c r="AN550" s="81"/>
      <c r="AO550" s="81"/>
      <c r="AP550" s="81"/>
      <c r="AQ550" s="81"/>
      <c r="AR550" s="81"/>
      <c r="AS550" s="81"/>
      <c r="AT550" s="81"/>
      <c r="AU550" s="81"/>
      <c r="AV550" s="81"/>
      <c r="AW550" s="81"/>
      <c r="AX550" s="81"/>
      <c r="AY550" s="81"/>
      <c r="AZ550" s="81"/>
      <c r="BA550" s="81"/>
      <c r="BB550" s="81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1"/>
      <c r="K551" s="3"/>
      <c r="L551" s="3"/>
      <c r="M551" s="3"/>
      <c r="N551" s="70"/>
      <c r="O551" s="3"/>
      <c r="P551" s="3"/>
      <c r="Q551" s="25"/>
      <c r="R551" s="1"/>
      <c r="S551" s="1"/>
      <c r="T551" s="1"/>
      <c r="U551" s="1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81"/>
      <c r="AN551" s="81"/>
      <c r="AO551" s="81"/>
      <c r="AP551" s="81"/>
      <c r="AQ551" s="81"/>
      <c r="AR551" s="81"/>
      <c r="AS551" s="81"/>
      <c r="AT551" s="81"/>
      <c r="AU551" s="81"/>
      <c r="AV551" s="81"/>
      <c r="AW551" s="81"/>
      <c r="AX551" s="81"/>
      <c r="AY551" s="81"/>
      <c r="AZ551" s="81"/>
      <c r="BA551" s="81"/>
      <c r="BB551" s="81"/>
    </row>
    <row r="552">
      <c r="A552" s="1"/>
      <c r="B552" s="3"/>
      <c r="C552" s="3"/>
      <c r="D552" s="130"/>
      <c r="E552" s="3"/>
      <c r="F552" s="3"/>
      <c r="G552" s="1"/>
      <c r="H552" s="3"/>
      <c r="I552" s="3"/>
      <c r="J552" s="1"/>
      <c r="K552" s="3"/>
      <c r="L552" s="3"/>
      <c r="M552" s="3"/>
      <c r="N552" s="70"/>
      <c r="O552" s="3"/>
      <c r="P552" s="3"/>
      <c r="Q552" s="25"/>
      <c r="R552" s="3"/>
      <c r="S552" s="3"/>
      <c r="T552" s="1"/>
      <c r="U552" s="1"/>
      <c r="V552" s="1"/>
      <c r="W552" s="1"/>
      <c r="X552" s="1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81"/>
      <c r="AN552" s="81"/>
      <c r="AO552" s="81"/>
      <c r="AP552" s="81"/>
      <c r="AQ552" s="81"/>
      <c r="AR552" s="81"/>
      <c r="AS552" s="81"/>
      <c r="AT552" s="81"/>
      <c r="AU552" s="81"/>
      <c r="AV552" s="81"/>
      <c r="AW552" s="81"/>
      <c r="AX552" s="81"/>
      <c r="AY552" s="81"/>
      <c r="AZ552" s="81"/>
      <c r="BA552" s="81"/>
      <c r="BB552" s="81"/>
    </row>
    <row r="553">
      <c r="A553" s="3"/>
      <c r="B553" s="3"/>
      <c r="C553" s="3"/>
      <c r="D553" s="140"/>
      <c r="E553" s="3"/>
      <c r="F553" s="3"/>
      <c r="G553" s="3"/>
      <c r="H553" s="3"/>
      <c r="I553" s="3"/>
      <c r="J553" s="1"/>
      <c r="K553" s="3"/>
      <c r="L553" s="3"/>
      <c r="M553" s="3"/>
      <c r="N553" s="70"/>
      <c r="O553" s="3"/>
      <c r="P553" s="3"/>
      <c r="Q553" s="25"/>
      <c r="R553" s="3"/>
      <c r="S553" s="1"/>
      <c r="T553" s="1"/>
      <c r="U553" s="1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81"/>
      <c r="AN553" s="81"/>
      <c r="AO553" s="81"/>
      <c r="AP553" s="81"/>
      <c r="AQ553" s="81"/>
      <c r="AR553" s="81"/>
      <c r="AS553" s="81"/>
      <c r="AT553" s="81"/>
      <c r="AU553" s="81"/>
      <c r="AV553" s="81"/>
      <c r="AW553" s="81"/>
      <c r="AX553" s="81"/>
      <c r="AY553" s="81"/>
      <c r="AZ553" s="81"/>
      <c r="BA553" s="81"/>
      <c r="BB553" s="81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1"/>
      <c r="K554" s="3"/>
      <c r="L554" s="3"/>
      <c r="M554" s="3"/>
      <c r="N554" s="70"/>
      <c r="O554" s="3"/>
      <c r="P554" s="3"/>
      <c r="Q554" s="25"/>
      <c r="R554" s="1"/>
      <c r="S554" s="1"/>
      <c r="T554" s="1"/>
      <c r="U554" s="1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107"/>
      <c r="AN554" s="81"/>
      <c r="AO554" s="81"/>
      <c r="AP554" s="81"/>
      <c r="AQ554" s="81"/>
      <c r="AR554" s="81"/>
      <c r="AS554" s="81"/>
      <c r="AT554" s="81"/>
      <c r="AU554" s="81"/>
      <c r="AV554" s="81"/>
      <c r="AW554" s="81"/>
      <c r="AX554" s="81"/>
      <c r="AY554" s="81"/>
      <c r="AZ554" s="81"/>
      <c r="BA554" s="81"/>
      <c r="BB554" s="81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1"/>
      <c r="K555" s="3"/>
      <c r="L555" s="3"/>
      <c r="M555" s="3"/>
      <c r="N555" s="70"/>
      <c r="O555" s="3"/>
      <c r="P555" s="3"/>
      <c r="Q555" s="25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81"/>
      <c r="AN555" s="81"/>
      <c r="AO555" s="81"/>
      <c r="AP555" s="81"/>
      <c r="AQ555" s="81"/>
      <c r="AR555" s="81"/>
      <c r="AS555" s="81"/>
      <c r="AT555" s="81"/>
      <c r="AU555" s="81"/>
      <c r="AV555" s="81"/>
      <c r="AW555" s="81"/>
      <c r="AX555" s="81"/>
      <c r="AY555" s="81"/>
      <c r="AZ555" s="81"/>
      <c r="BA555" s="81"/>
      <c r="BB555" s="81"/>
    </row>
    <row r="556">
      <c r="A556" s="1"/>
      <c r="B556" s="3"/>
      <c r="C556" s="3"/>
      <c r="D556" s="130"/>
      <c r="E556" s="3"/>
      <c r="F556" s="3"/>
      <c r="G556" s="3"/>
      <c r="H556" s="3"/>
      <c r="I556" s="3"/>
      <c r="J556" s="3"/>
      <c r="K556" s="3"/>
      <c r="L556" s="3"/>
      <c r="M556" s="3"/>
      <c r="N556" s="105"/>
      <c r="O556" s="1"/>
      <c r="P556" s="3"/>
      <c r="Q556" s="25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81"/>
      <c r="AN556" s="81"/>
      <c r="AO556" s="81"/>
      <c r="AP556" s="81"/>
      <c r="AQ556" s="81"/>
      <c r="AR556" s="81"/>
      <c r="AS556" s="81"/>
      <c r="AT556" s="81"/>
      <c r="AU556" s="81"/>
      <c r="AV556" s="81"/>
      <c r="AW556" s="81"/>
      <c r="AX556" s="81"/>
      <c r="AY556" s="81"/>
      <c r="AZ556" s="81"/>
      <c r="BA556" s="81"/>
      <c r="BB556" s="81"/>
    </row>
    <row r="557">
      <c r="A557" s="3"/>
      <c r="B557" s="3"/>
      <c r="C557" s="3"/>
      <c r="D557" s="3"/>
      <c r="E557" s="3"/>
      <c r="F557" s="3"/>
      <c r="G557" s="3"/>
      <c r="H557" s="3"/>
      <c r="I557" s="1"/>
      <c r="J557" s="1"/>
      <c r="K557" s="3"/>
      <c r="L557" s="3"/>
      <c r="M557" s="3"/>
      <c r="N557" s="70"/>
      <c r="O557" s="3"/>
      <c r="P557" s="3"/>
      <c r="Q557" s="25"/>
      <c r="R557" s="1"/>
      <c r="S557" s="1"/>
      <c r="T557" s="1"/>
      <c r="U557" s="1"/>
      <c r="V557" s="1"/>
      <c r="W557" s="1"/>
      <c r="X557" s="1"/>
      <c r="Y557" s="1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81"/>
      <c r="AN557" s="81"/>
      <c r="AO557" s="81"/>
      <c r="AP557" s="81"/>
      <c r="AQ557" s="81"/>
      <c r="AR557" s="81"/>
      <c r="AS557" s="81"/>
      <c r="AT557" s="81"/>
      <c r="AU557" s="81"/>
      <c r="AV557" s="81"/>
      <c r="AW557" s="81"/>
      <c r="AX557" s="81"/>
      <c r="AY557" s="81"/>
      <c r="AZ557" s="81"/>
      <c r="BA557" s="81"/>
      <c r="BB557" s="81"/>
    </row>
    <row r="558">
      <c r="A558" s="3"/>
      <c r="B558" s="3"/>
      <c r="C558" s="3"/>
      <c r="D558" s="3"/>
      <c r="E558" s="3"/>
      <c r="F558" s="3"/>
      <c r="G558" s="3"/>
      <c r="H558" s="3"/>
      <c r="I558" s="1"/>
      <c r="J558" s="1"/>
      <c r="K558" s="3"/>
      <c r="L558" s="3"/>
      <c r="M558" s="3"/>
      <c r="N558" s="70"/>
      <c r="O558" s="3"/>
      <c r="P558" s="3"/>
      <c r="Q558" s="25"/>
      <c r="R558" s="1"/>
      <c r="S558" s="1"/>
      <c r="T558" s="1"/>
      <c r="U558" s="1"/>
      <c r="V558" s="3"/>
      <c r="W558" s="1"/>
      <c r="X558" s="1"/>
      <c r="Y558" s="1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81"/>
      <c r="AN558" s="81"/>
      <c r="AO558" s="81"/>
      <c r="AP558" s="81"/>
      <c r="AQ558" s="81"/>
      <c r="AR558" s="81"/>
      <c r="AS558" s="81"/>
      <c r="AT558" s="81"/>
      <c r="AU558" s="81"/>
      <c r="AV558" s="81"/>
      <c r="AW558" s="81"/>
      <c r="AX558" s="81"/>
      <c r="AY558" s="81"/>
      <c r="AZ558" s="81"/>
      <c r="BA558" s="81"/>
      <c r="BB558" s="81"/>
    </row>
    <row r="559">
      <c r="A559" s="3"/>
      <c r="B559" s="3"/>
      <c r="C559" s="3"/>
      <c r="D559" s="1"/>
      <c r="E559" s="3"/>
      <c r="F559" s="3"/>
      <c r="G559" s="3"/>
      <c r="H559" s="3"/>
      <c r="I559" s="3"/>
      <c r="J559" s="1"/>
      <c r="K559" s="3"/>
      <c r="L559" s="3"/>
      <c r="M559" s="3"/>
      <c r="N559" s="105"/>
      <c r="O559" s="1"/>
      <c r="P559" s="3"/>
      <c r="Q559" s="25"/>
      <c r="R559" s="1"/>
      <c r="S559" s="1"/>
      <c r="T559" s="1"/>
      <c r="U559" s="1"/>
      <c r="V559" s="1"/>
      <c r="W559" s="1"/>
      <c r="X559" s="1"/>
      <c r="Y559" s="1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81"/>
      <c r="AN559" s="81"/>
      <c r="AO559" s="81"/>
      <c r="AP559" s="81"/>
      <c r="AQ559" s="81"/>
      <c r="AR559" s="81"/>
      <c r="AS559" s="81"/>
      <c r="AT559" s="81"/>
      <c r="AU559" s="81"/>
      <c r="AV559" s="81"/>
      <c r="AW559" s="81"/>
      <c r="AX559" s="81"/>
      <c r="AY559" s="81"/>
      <c r="AZ559" s="81"/>
      <c r="BA559" s="81"/>
      <c r="BB559" s="81"/>
    </row>
    <row r="560">
      <c r="A560" s="3"/>
      <c r="B560" s="3"/>
      <c r="C560" s="3"/>
      <c r="D560" s="3"/>
      <c r="E560" s="3"/>
      <c r="F560" s="3"/>
      <c r="G560" s="3"/>
      <c r="H560" s="3"/>
      <c r="I560" s="1"/>
      <c r="J560" s="1"/>
      <c r="K560" s="3"/>
      <c r="L560" s="3"/>
      <c r="M560" s="3"/>
      <c r="N560" s="70"/>
      <c r="O560" s="3"/>
      <c r="P560" s="3"/>
      <c r="Q560" s="25"/>
      <c r="R560" s="1"/>
      <c r="S560" s="1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81"/>
      <c r="AN560" s="81"/>
      <c r="AO560" s="81"/>
      <c r="AP560" s="81"/>
      <c r="AQ560" s="81"/>
      <c r="AR560" s="81"/>
      <c r="AS560" s="81"/>
      <c r="AT560" s="81"/>
      <c r="AU560" s="81"/>
      <c r="AV560" s="81"/>
      <c r="AW560" s="81"/>
      <c r="AX560" s="81"/>
      <c r="AY560" s="81"/>
      <c r="AZ560" s="81"/>
      <c r="BA560" s="81"/>
      <c r="BB560" s="81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70"/>
      <c r="O561" s="3"/>
      <c r="P561" s="3"/>
      <c r="Q561" s="25"/>
      <c r="R561" s="3"/>
      <c r="S561" s="1"/>
      <c r="T561" s="3"/>
      <c r="U561" s="1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81"/>
      <c r="AN561" s="81"/>
      <c r="AO561" s="81"/>
      <c r="AP561" s="81"/>
      <c r="AQ561" s="81"/>
      <c r="AR561" s="81"/>
      <c r="AS561" s="81"/>
      <c r="AT561" s="81"/>
      <c r="AU561" s="81"/>
      <c r="AV561" s="81"/>
      <c r="AW561" s="81"/>
      <c r="AX561" s="81"/>
      <c r="AY561" s="81"/>
      <c r="AZ561" s="81"/>
      <c r="BA561" s="81"/>
      <c r="BB561" s="81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70"/>
      <c r="O562" s="3"/>
      <c r="P562" s="3"/>
      <c r="Q562" s="25"/>
      <c r="R562" s="3"/>
      <c r="S562" s="1"/>
      <c r="T562" s="1"/>
      <c r="U562" s="1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81"/>
      <c r="AN562" s="81"/>
      <c r="AO562" s="81"/>
      <c r="AP562" s="81"/>
      <c r="AQ562" s="81"/>
      <c r="AR562" s="81"/>
      <c r="AS562" s="81"/>
      <c r="AT562" s="81"/>
      <c r="AU562" s="81"/>
      <c r="AV562" s="81"/>
      <c r="AW562" s="81"/>
      <c r="AX562" s="81"/>
      <c r="AY562" s="81"/>
      <c r="AZ562" s="81"/>
      <c r="BA562" s="81"/>
      <c r="BB562" s="81"/>
    </row>
    <row r="563">
      <c r="A563" s="3"/>
      <c r="B563" s="3"/>
      <c r="C563" s="3"/>
      <c r="D563" s="141"/>
      <c r="E563" s="3"/>
      <c r="F563" s="3"/>
      <c r="G563" s="3"/>
      <c r="H563" s="3"/>
      <c r="I563" s="3"/>
      <c r="J563" s="1"/>
      <c r="K563" s="3"/>
      <c r="L563" s="3"/>
      <c r="M563" s="3"/>
      <c r="N563" s="70"/>
      <c r="O563" s="3"/>
      <c r="P563" s="3"/>
      <c r="Q563" s="25"/>
      <c r="R563" s="1"/>
      <c r="S563" s="1"/>
      <c r="T563" s="1"/>
      <c r="U563" s="1"/>
      <c r="V563" s="1"/>
      <c r="W563" s="1"/>
      <c r="X563" s="1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81"/>
      <c r="AN563" s="81"/>
      <c r="AO563" s="81"/>
      <c r="AP563" s="81"/>
      <c r="AQ563" s="81"/>
      <c r="AR563" s="81"/>
      <c r="AS563" s="81"/>
      <c r="AT563" s="81"/>
      <c r="AU563" s="81"/>
      <c r="AV563" s="81"/>
      <c r="AW563" s="81"/>
      <c r="AX563" s="81"/>
      <c r="AY563" s="81"/>
      <c r="AZ563" s="81"/>
      <c r="BA563" s="81"/>
      <c r="BB563" s="81"/>
    </row>
    <row r="564">
      <c r="A564" s="3"/>
      <c r="B564" s="3"/>
      <c r="C564" s="3"/>
      <c r="D564" s="3"/>
      <c r="E564" s="3"/>
      <c r="F564" s="3"/>
      <c r="G564" s="3"/>
      <c r="H564" s="3"/>
      <c r="I564" s="1"/>
      <c r="J564" s="1"/>
      <c r="K564" s="3"/>
      <c r="L564" s="3"/>
      <c r="M564" s="3"/>
      <c r="N564" s="70"/>
      <c r="O564" s="3"/>
      <c r="P564" s="3"/>
      <c r="Q564" s="25"/>
      <c r="R564" s="1"/>
      <c r="S564" s="1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81"/>
      <c r="AN564" s="81"/>
      <c r="AO564" s="81"/>
      <c r="AP564" s="81"/>
      <c r="AQ564" s="81"/>
      <c r="AR564" s="81"/>
      <c r="AS564" s="81"/>
      <c r="AT564" s="81"/>
      <c r="AU564" s="81"/>
      <c r="AV564" s="81"/>
      <c r="AW564" s="81"/>
      <c r="AX564" s="81"/>
      <c r="AY564" s="81"/>
      <c r="AZ564" s="81"/>
      <c r="BA564" s="81"/>
      <c r="BB564" s="81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1"/>
      <c r="K565" s="3"/>
      <c r="L565" s="3"/>
      <c r="M565" s="3"/>
      <c r="N565" s="70"/>
      <c r="O565" s="3"/>
      <c r="P565" s="3"/>
      <c r="Q565" s="25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81"/>
      <c r="AN565" s="81"/>
      <c r="AO565" s="81"/>
      <c r="AP565" s="81"/>
      <c r="AQ565" s="81"/>
      <c r="AR565" s="81"/>
      <c r="AS565" s="81"/>
      <c r="AT565" s="81"/>
      <c r="AU565" s="81"/>
      <c r="AV565" s="81"/>
      <c r="AW565" s="81"/>
      <c r="AX565" s="81"/>
      <c r="AY565" s="81"/>
      <c r="AZ565" s="81"/>
      <c r="BA565" s="81"/>
      <c r="BB565" s="81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70"/>
      <c r="O566" s="3"/>
      <c r="P566" s="3"/>
      <c r="Q566" s="25"/>
      <c r="R566" s="3"/>
      <c r="S566" s="1"/>
      <c r="T566" s="1"/>
      <c r="U566" s="1"/>
      <c r="V566" s="3"/>
      <c r="W566" s="3"/>
      <c r="X566" s="1"/>
      <c r="Y566" s="1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81"/>
      <c r="AN566" s="81"/>
      <c r="AO566" s="81"/>
      <c r="AP566" s="81"/>
      <c r="AQ566" s="81"/>
      <c r="AR566" s="81"/>
      <c r="AS566" s="81"/>
      <c r="AT566" s="81"/>
      <c r="AU566" s="81"/>
      <c r="AV566" s="81"/>
      <c r="AW566" s="81"/>
      <c r="AX566" s="81"/>
      <c r="AY566" s="81"/>
      <c r="AZ566" s="81"/>
      <c r="BA566" s="81"/>
      <c r="BB566" s="81"/>
    </row>
    <row r="567">
      <c r="A567" s="3"/>
      <c r="B567" s="3"/>
      <c r="C567" s="3"/>
      <c r="D567" s="143"/>
      <c r="E567" s="3"/>
      <c r="F567" s="3"/>
      <c r="G567" s="3"/>
      <c r="H567" s="3"/>
      <c r="I567" s="3"/>
      <c r="J567" s="1"/>
      <c r="K567" s="3"/>
      <c r="L567" s="3"/>
      <c r="M567" s="3"/>
      <c r="N567" s="70"/>
      <c r="O567" s="3"/>
      <c r="P567" s="3"/>
      <c r="Q567" s="25"/>
      <c r="R567" s="3"/>
      <c r="S567" s="3"/>
      <c r="T567" s="1"/>
      <c r="U567" s="1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81"/>
      <c r="AN567" s="81"/>
      <c r="AO567" s="81"/>
      <c r="AP567" s="81"/>
      <c r="AQ567" s="81"/>
      <c r="AR567" s="81"/>
      <c r="AS567" s="81"/>
      <c r="AT567" s="81"/>
      <c r="AU567" s="81"/>
      <c r="AV567" s="81"/>
      <c r="AW567" s="81"/>
      <c r="AX567" s="81"/>
      <c r="AY567" s="81"/>
      <c r="AZ567" s="81"/>
      <c r="BA567" s="81"/>
      <c r="BB567" s="81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1"/>
      <c r="K568" s="3"/>
      <c r="L568" s="3"/>
      <c r="M568" s="1"/>
      <c r="N568" s="70"/>
      <c r="O568" s="3"/>
      <c r="P568" s="3"/>
      <c r="Q568" s="25"/>
      <c r="R568" s="1"/>
      <c r="S568" s="1"/>
      <c r="T568" s="1"/>
      <c r="U568" s="1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81"/>
      <c r="AN568" s="81"/>
      <c r="AO568" s="81"/>
      <c r="AP568" s="81"/>
      <c r="AQ568" s="81"/>
      <c r="AR568" s="81"/>
      <c r="AS568" s="81"/>
      <c r="AT568" s="81"/>
      <c r="AU568" s="81"/>
      <c r="AV568" s="81"/>
      <c r="AW568" s="81"/>
      <c r="AX568" s="81"/>
      <c r="AY568" s="81"/>
      <c r="AZ568" s="81"/>
      <c r="BA568" s="81"/>
      <c r="BB568" s="81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1"/>
      <c r="K569" s="3"/>
      <c r="L569" s="3"/>
      <c r="M569" s="3"/>
      <c r="N569" s="70"/>
      <c r="O569" s="3"/>
      <c r="P569" s="3"/>
      <c r="Q569" s="25"/>
      <c r="R569" s="3"/>
      <c r="S569" s="1"/>
      <c r="T569" s="1"/>
      <c r="U569" s="1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81"/>
      <c r="AN569" s="81"/>
      <c r="AO569" s="81"/>
      <c r="AP569" s="81"/>
      <c r="AQ569" s="81"/>
      <c r="AR569" s="81"/>
      <c r="AS569" s="81"/>
      <c r="AT569" s="81"/>
      <c r="AU569" s="81"/>
      <c r="AV569" s="81"/>
      <c r="AW569" s="81"/>
      <c r="AX569" s="81"/>
      <c r="AY569" s="81"/>
      <c r="AZ569" s="81"/>
      <c r="BA569" s="81"/>
      <c r="BB569" s="81"/>
    </row>
    <row r="570">
      <c r="A570" s="1"/>
      <c r="B570" s="3"/>
      <c r="C570" s="3"/>
      <c r="D570" s="3"/>
      <c r="E570" s="3"/>
      <c r="F570" s="3"/>
      <c r="G570" s="3"/>
      <c r="H570" s="3"/>
      <c r="I570" s="3"/>
      <c r="J570" s="1"/>
      <c r="K570" s="3"/>
      <c r="L570" s="3"/>
      <c r="M570" s="3"/>
      <c r="N570" s="70"/>
      <c r="O570" s="3"/>
      <c r="P570" s="3"/>
      <c r="Q570" s="25"/>
      <c r="R570" s="1"/>
      <c r="S570" s="1"/>
      <c r="T570" s="1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81"/>
      <c r="AN570" s="81"/>
      <c r="AO570" s="81"/>
      <c r="AP570" s="81"/>
      <c r="AQ570" s="81"/>
      <c r="AR570" s="81"/>
      <c r="AS570" s="81"/>
      <c r="AT570" s="81"/>
      <c r="AU570" s="81"/>
      <c r="AV570" s="81"/>
      <c r="AW570" s="81"/>
      <c r="AX570" s="81"/>
      <c r="AY570" s="81"/>
      <c r="AZ570" s="81"/>
      <c r="BA570" s="81"/>
      <c r="BB570" s="81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70"/>
      <c r="O571" s="3"/>
      <c r="P571" s="3"/>
      <c r="Q571" s="25"/>
      <c r="R571" s="3"/>
      <c r="S571" s="1"/>
      <c r="T571" s="3"/>
      <c r="U571" s="1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81"/>
      <c r="AN571" s="81"/>
      <c r="AO571" s="81"/>
      <c r="AP571" s="81"/>
      <c r="AQ571" s="81"/>
      <c r="AR571" s="81"/>
      <c r="AS571" s="81"/>
      <c r="AT571" s="81"/>
      <c r="AU571" s="81"/>
      <c r="AV571" s="81"/>
      <c r="AW571" s="81"/>
      <c r="AX571" s="81"/>
      <c r="AY571" s="81"/>
      <c r="AZ571" s="81"/>
      <c r="BA571" s="81"/>
      <c r="BB571" s="81"/>
    </row>
    <row r="572">
      <c r="A572" s="1"/>
      <c r="B572" s="3"/>
      <c r="C572" s="3"/>
      <c r="D572" s="1"/>
      <c r="E572" s="3"/>
      <c r="F572" s="3"/>
      <c r="G572" s="3"/>
      <c r="H572" s="3"/>
      <c r="I572" s="3"/>
      <c r="J572" s="3"/>
      <c r="K572" s="3"/>
      <c r="L572" s="3"/>
      <c r="M572" s="3"/>
      <c r="N572" s="70"/>
      <c r="O572" s="3"/>
      <c r="P572" s="3"/>
      <c r="Q572" s="25"/>
      <c r="R572" s="3"/>
      <c r="S572" s="1"/>
      <c r="T572" s="1"/>
      <c r="U572" s="1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81"/>
      <c r="AN572" s="81"/>
      <c r="AO572" s="81"/>
      <c r="AP572" s="81"/>
      <c r="AQ572" s="81"/>
      <c r="AR572" s="81"/>
      <c r="AS572" s="81"/>
      <c r="AT572" s="81"/>
      <c r="AU572" s="81"/>
      <c r="AV572" s="81"/>
      <c r="AW572" s="81"/>
      <c r="AX572" s="81"/>
      <c r="AY572" s="81"/>
      <c r="AZ572" s="81"/>
      <c r="BA572" s="81"/>
      <c r="BB572" s="81"/>
    </row>
    <row r="573">
      <c r="A573" s="3"/>
      <c r="B573" s="3"/>
      <c r="C573" s="3"/>
      <c r="D573" s="141"/>
      <c r="E573" s="3"/>
      <c r="F573" s="3"/>
      <c r="G573" s="3"/>
      <c r="H573" s="3"/>
      <c r="I573" s="3"/>
      <c r="J573" s="3"/>
      <c r="K573" s="3"/>
      <c r="L573" s="3"/>
      <c r="M573" s="3"/>
      <c r="N573" s="70"/>
      <c r="O573" s="3"/>
      <c r="P573" s="3"/>
      <c r="Q573" s="25"/>
      <c r="R573" s="3"/>
      <c r="S573" s="1"/>
      <c r="T573" s="1"/>
      <c r="U573" s="1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81"/>
      <c r="AN573" s="81"/>
      <c r="AO573" s="81"/>
      <c r="AP573" s="81"/>
      <c r="AQ573" s="81"/>
      <c r="AR573" s="81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70"/>
      <c r="O574" s="3"/>
      <c r="P574" s="3"/>
      <c r="Q574" s="25"/>
      <c r="R574" s="3"/>
      <c r="S574" s="1"/>
      <c r="T574" s="1"/>
      <c r="U574" s="1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81"/>
      <c r="AN574" s="81"/>
      <c r="AO574" s="81"/>
      <c r="AP574" s="81"/>
      <c r="AQ574" s="81"/>
      <c r="AR574" s="81"/>
      <c r="AS574" s="81"/>
      <c r="AT574" s="81"/>
      <c r="AU574" s="81"/>
      <c r="AV574" s="81"/>
      <c r="AW574" s="81"/>
      <c r="AX574" s="81"/>
      <c r="AY574" s="81"/>
      <c r="AZ574" s="81"/>
      <c r="BA574" s="81"/>
      <c r="BB574" s="81"/>
    </row>
    <row r="575">
      <c r="A575" s="3"/>
      <c r="B575" s="3"/>
      <c r="C575" s="3"/>
      <c r="D575" s="3"/>
      <c r="E575" s="3"/>
      <c r="F575" s="1"/>
      <c r="G575" s="3"/>
      <c r="H575" s="3"/>
      <c r="I575" s="3"/>
      <c r="J575" s="3"/>
      <c r="K575" s="3"/>
      <c r="L575" s="3"/>
      <c r="M575" s="3"/>
      <c r="N575" s="70"/>
      <c r="O575" s="3"/>
      <c r="P575" s="3"/>
      <c r="Q575" s="25"/>
      <c r="R575" s="3"/>
      <c r="S575" s="1"/>
      <c r="T575" s="1"/>
      <c r="U575" s="1"/>
      <c r="V575" s="3"/>
      <c r="W575" s="3"/>
      <c r="X575" s="1"/>
      <c r="Y575" s="1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81"/>
      <c r="AN575" s="81"/>
      <c r="AO575" s="81"/>
      <c r="AP575" s="81"/>
      <c r="AQ575" s="81"/>
      <c r="AR575" s="81"/>
      <c r="AS575" s="81"/>
      <c r="AT575" s="81"/>
      <c r="AU575" s="81"/>
      <c r="AV575" s="81"/>
      <c r="AW575" s="81"/>
      <c r="AX575" s="81"/>
      <c r="AY575" s="81"/>
      <c r="AZ575" s="81"/>
      <c r="BA575" s="81"/>
      <c r="BB575" s="81"/>
    </row>
    <row r="576">
      <c r="A576" s="3"/>
      <c r="B576" s="3"/>
      <c r="C576" s="3"/>
      <c r="D576" s="1"/>
      <c r="E576" s="3"/>
      <c r="F576" s="3"/>
      <c r="G576" s="3"/>
      <c r="H576" s="3"/>
      <c r="I576" s="3"/>
      <c r="J576" s="1"/>
      <c r="K576" s="3"/>
      <c r="L576" s="3"/>
      <c r="M576" s="3"/>
      <c r="N576" s="70"/>
      <c r="O576" s="3"/>
      <c r="P576" s="3"/>
      <c r="Q576" s="25"/>
      <c r="R576" s="3"/>
      <c r="S576" s="1"/>
      <c r="T576" s="1"/>
      <c r="U576" s="1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81"/>
      <c r="AN576" s="81"/>
      <c r="AO576" s="81"/>
      <c r="AP576" s="81"/>
      <c r="AQ576" s="81"/>
      <c r="AR576" s="81"/>
      <c r="AS576" s="81"/>
      <c r="AT576" s="81"/>
      <c r="AU576" s="81"/>
      <c r="AV576" s="81"/>
      <c r="AW576" s="81"/>
      <c r="AX576" s="81"/>
      <c r="AY576" s="81"/>
      <c r="AZ576" s="81"/>
      <c r="BA576" s="81"/>
      <c r="BB576" s="81"/>
    </row>
    <row r="577">
      <c r="A577" s="3"/>
      <c r="B577" s="3"/>
      <c r="C577" s="3"/>
      <c r="D577" s="141"/>
      <c r="E577" s="3"/>
      <c r="F577" s="3"/>
      <c r="G577" s="3"/>
      <c r="H577" s="3"/>
      <c r="I577" s="3"/>
      <c r="J577" s="3"/>
      <c r="K577" s="3"/>
      <c r="L577" s="3"/>
      <c r="M577" s="3"/>
      <c r="N577" s="70"/>
      <c r="O577" s="3"/>
      <c r="P577" s="3"/>
      <c r="Q577" s="25"/>
      <c r="R577" s="3"/>
      <c r="S577" s="1"/>
      <c r="T577" s="1"/>
      <c r="U577" s="1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81"/>
      <c r="AN577" s="81"/>
      <c r="AO577" s="81"/>
      <c r="AP577" s="81"/>
      <c r="AQ577" s="81"/>
      <c r="AR577" s="81"/>
      <c r="AS577" s="81"/>
      <c r="AT577" s="81"/>
      <c r="AU577" s="81"/>
      <c r="AV577" s="81"/>
      <c r="AW577" s="81"/>
      <c r="AX577" s="81"/>
      <c r="AY577" s="81"/>
      <c r="AZ577" s="81"/>
      <c r="BA577" s="81"/>
      <c r="BB577" s="81"/>
    </row>
    <row r="578">
      <c r="A578" s="3"/>
      <c r="B578" s="3"/>
      <c r="C578" s="3"/>
      <c r="D578" s="3"/>
      <c r="E578" s="3"/>
      <c r="F578" s="1"/>
      <c r="G578" s="3"/>
      <c r="H578" s="3"/>
      <c r="I578" s="3"/>
      <c r="J578" s="1"/>
      <c r="K578" s="3"/>
      <c r="L578" s="3"/>
      <c r="M578" s="3"/>
      <c r="N578" s="70"/>
      <c r="O578" s="3"/>
      <c r="P578" s="3"/>
      <c r="Q578" s="25"/>
      <c r="R578" s="3"/>
      <c r="S578" s="1"/>
      <c r="T578" s="1"/>
      <c r="U578" s="1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81"/>
      <c r="AN578" s="81"/>
      <c r="AO578" s="81"/>
      <c r="AP578" s="81"/>
      <c r="AQ578" s="81"/>
      <c r="AR578" s="81"/>
      <c r="AS578" s="81"/>
      <c r="AT578" s="81"/>
      <c r="AU578" s="81"/>
      <c r="AV578" s="81"/>
      <c r="AW578" s="81"/>
      <c r="AX578" s="81"/>
      <c r="AY578" s="81"/>
      <c r="AZ578" s="81"/>
      <c r="BA578" s="81"/>
      <c r="BB578" s="81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70"/>
      <c r="O579" s="3"/>
      <c r="P579" s="3"/>
      <c r="Q579" s="25"/>
      <c r="R579" s="3"/>
      <c r="S579" s="1"/>
      <c r="T579" s="1"/>
      <c r="U579" s="1"/>
      <c r="V579" s="3"/>
      <c r="W579" s="3"/>
      <c r="X579" s="1"/>
      <c r="Y579" s="1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81"/>
      <c r="AN579" s="81"/>
      <c r="AO579" s="81"/>
      <c r="AP579" s="81"/>
      <c r="AQ579" s="81"/>
      <c r="AR579" s="81"/>
      <c r="AS579" s="81"/>
      <c r="AT579" s="81"/>
      <c r="AU579" s="81"/>
      <c r="AV579" s="81"/>
      <c r="AW579" s="81"/>
      <c r="AX579" s="81"/>
      <c r="AY579" s="81"/>
      <c r="AZ579" s="81"/>
      <c r="BA579" s="81"/>
      <c r="BB579" s="81"/>
    </row>
    <row r="580">
      <c r="A580" s="3"/>
      <c r="B580" s="3"/>
      <c r="C580" s="3"/>
      <c r="D580" s="144"/>
      <c r="E580" s="3"/>
      <c r="F580" s="3"/>
      <c r="G580" s="3"/>
      <c r="H580" s="3"/>
      <c r="I580" s="3"/>
      <c r="J580" s="1"/>
      <c r="K580" s="3"/>
      <c r="L580" s="3"/>
      <c r="M580" s="3"/>
      <c r="N580" s="70"/>
      <c r="O580" s="3"/>
      <c r="P580" s="3"/>
      <c r="Q580" s="25"/>
      <c r="R580" s="3"/>
      <c r="S580" s="1"/>
      <c r="T580" s="1"/>
      <c r="U580" s="1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107"/>
      <c r="AN580" s="81"/>
      <c r="AO580" s="81"/>
      <c r="AP580" s="81"/>
      <c r="AQ580" s="81"/>
      <c r="AR580" s="81"/>
      <c r="AS580" s="81"/>
      <c r="AT580" s="81"/>
      <c r="AU580" s="81"/>
      <c r="AV580" s="81"/>
      <c r="AW580" s="81"/>
      <c r="AX580" s="81"/>
      <c r="AY580" s="81"/>
      <c r="AZ580" s="81"/>
      <c r="BA580" s="81"/>
      <c r="BB580" s="81"/>
    </row>
    <row r="581">
      <c r="A581" s="3"/>
      <c r="B581" s="3"/>
      <c r="C581" s="3"/>
      <c r="D581" s="141"/>
      <c r="E581" s="3"/>
      <c r="F581" s="3"/>
      <c r="G581" s="3"/>
      <c r="H581" s="3"/>
      <c r="I581" s="3"/>
      <c r="J581" s="1"/>
      <c r="K581" s="3"/>
      <c r="L581" s="3"/>
      <c r="M581" s="3"/>
      <c r="N581" s="70"/>
      <c r="O581" s="3"/>
      <c r="P581" s="3"/>
      <c r="Q581" s="25"/>
      <c r="R581" s="3"/>
      <c r="S581" s="1"/>
      <c r="T581" s="1"/>
      <c r="U581" s="1"/>
      <c r="V581" s="3"/>
      <c r="W581" s="1"/>
      <c r="X581" s="1"/>
      <c r="Y581" s="1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81"/>
      <c r="AN581" s="81"/>
      <c r="AO581" s="81"/>
      <c r="AP581" s="81"/>
      <c r="AQ581" s="81"/>
      <c r="AR581" s="81"/>
      <c r="AS581" s="81"/>
      <c r="AT581" s="81"/>
      <c r="AU581" s="81"/>
      <c r="AV581" s="81"/>
      <c r="AW581" s="81"/>
      <c r="AX581" s="81"/>
      <c r="AY581" s="81"/>
      <c r="AZ581" s="81"/>
      <c r="BA581" s="81"/>
      <c r="BB581" s="81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1"/>
      <c r="K582" s="3"/>
      <c r="L582" s="3"/>
      <c r="M582" s="3"/>
      <c r="N582" s="70"/>
      <c r="O582" s="3"/>
      <c r="P582" s="3"/>
      <c r="Q582" s="25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81"/>
      <c r="AN582" s="81"/>
      <c r="AO582" s="81"/>
      <c r="AP582" s="81"/>
      <c r="AQ582" s="81"/>
      <c r="AR582" s="81"/>
      <c r="AS582" s="81"/>
      <c r="AT582" s="81"/>
      <c r="AU582" s="81"/>
      <c r="AV582" s="81"/>
      <c r="AW582" s="81"/>
      <c r="AX582" s="81"/>
      <c r="AY582" s="81"/>
      <c r="AZ582" s="81"/>
      <c r="BA582" s="81"/>
      <c r="BB582" s="81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70"/>
      <c r="K583" s="3"/>
      <c r="L583" s="3"/>
      <c r="M583" s="3"/>
      <c r="N583" s="70"/>
      <c r="O583" s="3"/>
      <c r="P583" s="3"/>
      <c r="Q583" s="25"/>
      <c r="R583" s="1"/>
      <c r="S583" s="1"/>
      <c r="T583" s="1"/>
      <c r="U583" s="1"/>
      <c r="V583" s="3"/>
      <c r="W583" s="1"/>
      <c r="X583" s="1"/>
      <c r="Y583" s="1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81"/>
      <c r="AN583" s="81"/>
      <c r="AO583" s="81"/>
      <c r="AP583" s="81"/>
      <c r="AQ583" s="81"/>
      <c r="AR583" s="81"/>
      <c r="AS583" s="81"/>
      <c r="AT583" s="81"/>
      <c r="AU583" s="81"/>
      <c r="AV583" s="81"/>
      <c r="AW583" s="81"/>
      <c r="AX583" s="81"/>
      <c r="AY583" s="81"/>
      <c r="AZ583" s="81"/>
      <c r="BA583" s="81"/>
      <c r="BB583" s="81"/>
    </row>
    <row r="584">
      <c r="A584" s="3"/>
      <c r="B584" s="3"/>
      <c r="C584" s="3"/>
      <c r="D584" s="126"/>
      <c r="E584" s="3"/>
      <c r="F584" s="3"/>
      <c r="G584" s="3"/>
      <c r="H584" s="3"/>
      <c r="I584" s="3"/>
      <c r="J584" s="3"/>
      <c r="K584" s="3"/>
      <c r="L584" s="3"/>
      <c r="M584" s="3"/>
      <c r="N584" s="70"/>
      <c r="O584" s="3"/>
      <c r="P584" s="3"/>
      <c r="Q584" s="25"/>
      <c r="R584" s="3"/>
      <c r="S584" s="1"/>
      <c r="T584" s="1"/>
      <c r="U584" s="1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81"/>
      <c r="AN584" s="81"/>
      <c r="AO584" s="81"/>
      <c r="AP584" s="81"/>
      <c r="AQ584" s="81"/>
      <c r="AR584" s="81"/>
      <c r="AS584" s="81"/>
      <c r="AT584" s="81"/>
      <c r="AU584" s="81"/>
      <c r="AV584" s="81"/>
      <c r="AW584" s="81"/>
      <c r="AX584" s="81"/>
      <c r="AY584" s="81"/>
      <c r="AZ584" s="81"/>
      <c r="BA584" s="81"/>
      <c r="BB584" s="81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70"/>
      <c r="O585" s="3"/>
      <c r="P585" s="3"/>
      <c r="Q585" s="25"/>
      <c r="R585" s="3"/>
      <c r="S585" s="3"/>
      <c r="T585" s="1"/>
      <c r="U585" s="1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81"/>
      <c r="AN585" s="81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</row>
    <row r="586">
      <c r="A586" s="3"/>
      <c r="B586" s="3"/>
      <c r="C586" s="3"/>
      <c r="D586" s="3"/>
      <c r="E586" s="3"/>
      <c r="F586" s="3"/>
      <c r="G586" s="3"/>
      <c r="H586" s="3"/>
      <c r="I586" s="1"/>
      <c r="J586" s="1"/>
      <c r="K586" s="3"/>
      <c r="L586" s="3"/>
      <c r="M586" s="3"/>
      <c r="N586" s="70"/>
      <c r="O586" s="3"/>
      <c r="P586" s="3"/>
      <c r="Q586" s="25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81"/>
      <c r="AN586" s="81"/>
      <c r="AO586" s="81"/>
      <c r="AP586" s="81"/>
      <c r="AQ586" s="81"/>
      <c r="AR586" s="81"/>
      <c r="AS586" s="81"/>
      <c r="AT586" s="81"/>
      <c r="AU586" s="81"/>
      <c r="AV586" s="81"/>
      <c r="AW586" s="81"/>
      <c r="AX586" s="81"/>
      <c r="AY586" s="81"/>
      <c r="AZ586" s="81"/>
      <c r="BA586" s="81"/>
      <c r="BB586" s="81"/>
    </row>
    <row r="587">
      <c r="A587" s="3"/>
      <c r="B587" s="3"/>
      <c r="C587" s="3"/>
      <c r="D587" s="3"/>
      <c r="E587" s="3"/>
      <c r="F587" s="3"/>
      <c r="G587" s="3"/>
      <c r="H587" s="3"/>
      <c r="I587" s="1"/>
      <c r="J587" s="3"/>
      <c r="K587" s="3"/>
      <c r="L587" s="3"/>
      <c r="M587" s="3"/>
      <c r="N587" s="70"/>
      <c r="O587" s="3"/>
      <c r="P587" s="3"/>
      <c r="Q587" s="25"/>
      <c r="R587" s="3"/>
      <c r="S587" s="3"/>
      <c r="T587" s="3"/>
      <c r="U587" s="3"/>
      <c r="V587" s="1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81"/>
      <c r="AN587" s="81"/>
      <c r="AO587" s="81"/>
      <c r="AP587" s="81"/>
      <c r="AQ587" s="81"/>
      <c r="AR587" s="81"/>
      <c r="AS587" s="81"/>
      <c r="AT587" s="81"/>
      <c r="AU587" s="81"/>
      <c r="AV587" s="81"/>
      <c r="AW587" s="81"/>
      <c r="AX587" s="81"/>
      <c r="AY587" s="81"/>
      <c r="AZ587" s="81"/>
      <c r="BA587" s="81"/>
      <c r="BB587" s="81"/>
    </row>
    <row r="588">
      <c r="A588" s="3"/>
      <c r="B588" s="3"/>
      <c r="C588" s="3"/>
      <c r="D588" s="3"/>
      <c r="E588" s="3"/>
      <c r="F588" s="1"/>
      <c r="G588" s="3"/>
      <c r="H588" s="3"/>
      <c r="I588" s="1"/>
      <c r="J588" s="3"/>
      <c r="K588" s="3"/>
      <c r="L588" s="3"/>
      <c r="M588" s="3"/>
      <c r="N588" s="70"/>
      <c r="O588" s="3"/>
      <c r="P588" s="3"/>
      <c r="Q588" s="142"/>
      <c r="R588" s="3"/>
      <c r="S588" s="1"/>
      <c r="T588" s="3"/>
      <c r="U588" s="3"/>
      <c r="V588" s="3"/>
      <c r="W588" s="3"/>
      <c r="X588" s="1"/>
      <c r="Y588" s="1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81"/>
      <c r="AN588" s="81"/>
      <c r="AO588" s="81"/>
      <c r="AP588" s="81"/>
      <c r="AQ588" s="81"/>
      <c r="AR588" s="81"/>
      <c r="AS588" s="81"/>
      <c r="AT588" s="81"/>
      <c r="AU588" s="81"/>
      <c r="AV588" s="81"/>
      <c r="AW588" s="81"/>
      <c r="AX588" s="81"/>
      <c r="AY588" s="81"/>
      <c r="AZ588" s="81"/>
      <c r="BA588" s="81"/>
      <c r="BB588" s="81"/>
    </row>
    <row r="589">
      <c r="A589" s="3"/>
      <c r="B589" s="3"/>
      <c r="C589" s="3"/>
      <c r="D589" s="145"/>
      <c r="E589" s="3"/>
      <c r="F589" s="1"/>
      <c r="G589" s="3"/>
      <c r="H589" s="3"/>
      <c r="I589" s="3"/>
      <c r="J589" s="1"/>
      <c r="K589" s="3"/>
      <c r="L589" s="3"/>
      <c r="M589" s="3"/>
      <c r="N589" s="70"/>
      <c r="O589" s="3"/>
      <c r="P589" s="3"/>
      <c r="Q589" s="25"/>
      <c r="R589" s="3"/>
      <c r="S589" s="1"/>
      <c r="T589" s="1"/>
      <c r="U589" s="1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81"/>
      <c r="AN589" s="81"/>
      <c r="AO589" s="81"/>
      <c r="AP589" s="81"/>
      <c r="AQ589" s="81"/>
      <c r="AR589" s="81"/>
      <c r="AS589" s="81"/>
      <c r="AT589" s="81"/>
      <c r="AU589" s="81"/>
      <c r="AV589" s="81"/>
      <c r="AW589" s="81"/>
      <c r="AX589" s="81"/>
      <c r="AY589" s="81"/>
      <c r="AZ589" s="81"/>
      <c r="BA589" s="81"/>
      <c r="BB589" s="81"/>
    </row>
    <row r="590">
      <c r="A590" s="3"/>
      <c r="B590" s="3"/>
      <c r="C590" s="3"/>
      <c r="D590" s="131"/>
      <c r="E590" s="3"/>
      <c r="F590" s="3"/>
      <c r="G590" s="3"/>
      <c r="H590" s="3"/>
      <c r="I590" s="1"/>
      <c r="J590" s="1"/>
      <c r="K590" s="1"/>
      <c r="L590" s="3"/>
      <c r="M590" s="3"/>
      <c r="N590" s="70"/>
      <c r="O590" s="3"/>
      <c r="P590" s="3"/>
      <c r="Q590" s="25"/>
      <c r="R590" s="1"/>
      <c r="S590" s="1"/>
      <c r="T590" s="1"/>
      <c r="U590" s="1"/>
      <c r="V590" s="31"/>
      <c r="W590" s="1"/>
      <c r="X590" s="1"/>
      <c r="Y590" s="1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81"/>
      <c r="AN590" s="81"/>
      <c r="AO590" s="81"/>
      <c r="AP590" s="81"/>
      <c r="AQ590" s="81"/>
      <c r="AR590" s="81"/>
      <c r="AS590" s="81"/>
      <c r="AT590" s="81"/>
      <c r="AU590" s="81"/>
      <c r="AV590" s="81"/>
      <c r="AW590" s="81"/>
      <c r="AX590" s="81"/>
      <c r="AY590" s="81"/>
      <c r="AZ590" s="81"/>
      <c r="BA590" s="81"/>
      <c r="BB590" s="81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70"/>
      <c r="O591" s="3"/>
      <c r="P591" s="3"/>
      <c r="Q591" s="142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81"/>
      <c r="AN591" s="81"/>
      <c r="AO591" s="81"/>
      <c r="AP591" s="81"/>
      <c r="AQ591" s="81"/>
      <c r="AR591" s="81"/>
      <c r="AS591" s="81"/>
      <c r="AT591" s="81"/>
      <c r="AU591" s="81"/>
      <c r="AV591" s="81"/>
      <c r="AW591" s="81"/>
      <c r="AX591" s="81"/>
      <c r="AY591" s="81"/>
      <c r="AZ591" s="81"/>
      <c r="BA591" s="81"/>
      <c r="BB591" s="81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70"/>
      <c r="O592" s="3"/>
      <c r="P592" s="3"/>
      <c r="Q592" s="25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81"/>
      <c r="AN592" s="81"/>
      <c r="AO592" s="81"/>
      <c r="AP592" s="81"/>
      <c r="AQ592" s="81"/>
      <c r="AR592" s="81"/>
      <c r="AS592" s="81"/>
      <c r="AT592" s="81"/>
      <c r="AU592" s="81"/>
      <c r="AV592" s="81"/>
      <c r="AW592" s="81"/>
      <c r="AX592" s="81"/>
      <c r="AY592" s="81"/>
      <c r="AZ592" s="81"/>
      <c r="BA592" s="81"/>
      <c r="BB592" s="81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70"/>
      <c r="O593" s="3"/>
      <c r="P593" s="3"/>
      <c r="Q593" s="25"/>
      <c r="R593" s="3"/>
      <c r="S593" s="1"/>
      <c r="T593" s="1"/>
      <c r="U593" s="1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81"/>
      <c r="AN593" s="81"/>
      <c r="AO593" s="81"/>
      <c r="AP593" s="81"/>
      <c r="AQ593" s="81"/>
      <c r="AR593" s="81"/>
      <c r="AS593" s="81"/>
      <c r="AT593" s="81"/>
      <c r="AU593" s="81"/>
      <c r="AV593" s="81"/>
      <c r="AW593" s="81"/>
      <c r="AX593" s="81"/>
      <c r="AY593" s="81"/>
      <c r="AZ593" s="81"/>
      <c r="BA593" s="81"/>
      <c r="BB593" s="81"/>
    </row>
    <row r="594">
      <c r="A594" s="3"/>
      <c r="B594" s="3"/>
      <c r="C594" s="3"/>
      <c r="D594" s="3"/>
      <c r="E594" s="3"/>
      <c r="F594" s="3"/>
      <c r="G594" s="3"/>
      <c r="H594" s="3"/>
      <c r="I594" s="1"/>
      <c r="J594" s="1"/>
      <c r="K594" s="3"/>
      <c r="L594" s="3"/>
      <c r="M594" s="3"/>
      <c r="N594" s="70"/>
      <c r="O594" s="3"/>
      <c r="P594" s="3"/>
      <c r="Q594" s="25"/>
      <c r="R594" s="1"/>
      <c r="S594" s="1"/>
      <c r="T594" s="1"/>
      <c r="U594" s="1"/>
      <c r="V594" s="1"/>
      <c r="W594" s="1"/>
      <c r="X594" s="1"/>
      <c r="Y594" s="1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81"/>
      <c r="AN594" s="81"/>
      <c r="AO594" s="81"/>
      <c r="AP594" s="81"/>
      <c r="AQ594" s="81"/>
      <c r="AR594" s="81"/>
      <c r="AS594" s="81"/>
      <c r="AT594" s="81"/>
      <c r="AU594" s="81"/>
      <c r="AV594" s="81"/>
      <c r="AW594" s="81"/>
      <c r="AX594" s="81"/>
      <c r="AY594" s="81"/>
      <c r="AZ594" s="81"/>
      <c r="BA594" s="81"/>
      <c r="BB594" s="81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1"/>
      <c r="K595" s="3"/>
      <c r="L595" s="3"/>
      <c r="M595" s="3"/>
      <c r="N595" s="70"/>
      <c r="O595" s="3"/>
      <c r="P595" s="3"/>
      <c r="Q595" s="25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81"/>
      <c r="AN595" s="81"/>
      <c r="AO595" s="81"/>
      <c r="AP595" s="81"/>
      <c r="AQ595" s="81"/>
      <c r="AR595" s="81"/>
      <c r="AS595" s="81"/>
      <c r="AT595" s="81"/>
      <c r="AU595" s="81"/>
      <c r="AV595" s="81"/>
      <c r="AW595" s="81"/>
      <c r="AX595" s="81"/>
      <c r="AY595" s="81"/>
      <c r="AZ595" s="81"/>
      <c r="BA595" s="81"/>
      <c r="BB595" s="81"/>
    </row>
    <row r="596">
      <c r="A596" s="134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70"/>
      <c r="O596" s="3"/>
      <c r="P596" s="3"/>
      <c r="Q596" s="25"/>
      <c r="R596" s="3"/>
      <c r="S596" s="1"/>
      <c r="T596" s="1"/>
      <c r="U596" s="1"/>
      <c r="V596" s="3"/>
      <c r="W596" s="3"/>
      <c r="X596" s="1"/>
      <c r="Y596" s="1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81"/>
      <c r="AN596" s="81"/>
      <c r="AO596" s="81"/>
      <c r="AP596" s="81"/>
      <c r="AQ596" s="81"/>
      <c r="AR596" s="81"/>
      <c r="AS596" s="81"/>
      <c r="AT596" s="81"/>
      <c r="AU596" s="81"/>
      <c r="AV596" s="81"/>
      <c r="AW596" s="81"/>
      <c r="AX596" s="81"/>
      <c r="AY596" s="81"/>
      <c r="AZ596" s="81"/>
      <c r="BA596" s="81"/>
      <c r="BB596" s="81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70"/>
      <c r="O597" s="3"/>
      <c r="P597" s="3"/>
      <c r="Q597" s="25"/>
      <c r="R597" s="1"/>
      <c r="S597" s="1"/>
      <c r="T597" s="1"/>
      <c r="U597" s="1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81"/>
      <c r="AN597" s="81"/>
      <c r="AO597" s="81"/>
      <c r="AP597" s="81"/>
      <c r="AQ597" s="81"/>
      <c r="AR597" s="81"/>
      <c r="AS597" s="81"/>
      <c r="AT597" s="81"/>
      <c r="AU597" s="81"/>
      <c r="AV597" s="81"/>
      <c r="AW597" s="81"/>
      <c r="AX597" s="81"/>
      <c r="AY597" s="81"/>
      <c r="AZ597" s="81"/>
      <c r="BA597" s="81"/>
      <c r="BB597" s="81"/>
    </row>
    <row r="598">
      <c r="A598" s="3"/>
      <c r="B598" s="3"/>
      <c r="C598" s="3"/>
      <c r="D598" s="131"/>
      <c r="E598" s="3"/>
      <c r="F598" s="3"/>
      <c r="G598" s="3"/>
      <c r="H598" s="3"/>
      <c r="I598" s="3"/>
      <c r="J598" s="3"/>
      <c r="K598" s="3"/>
      <c r="L598" s="3"/>
      <c r="M598" s="3"/>
      <c r="N598" s="70"/>
      <c r="O598" s="3"/>
      <c r="P598" s="3"/>
      <c r="Q598" s="142"/>
      <c r="R598" s="3"/>
      <c r="S598" s="1"/>
      <c r="T598" s="1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81"/>
      <c r="AN598" s="81"/>
      <c r="AO598" s="81"/>
      <c r="AP598" s="81"/>
      <c r="AQ598" s="81"/>
      <c r="AR598" s="81"/>
      <c r="AS598" s="81"/>
      <c r="AT598" s="81"/>
      <c r="AU598" s="81"/>
      <c r="AV598" s="81"/>
      <c r="AW598" s="81"/>
      <c r="AX598" s="81"/>
      <c r="AY598" s="81"/>
      <c r="AZ598" s="81"/>
      <c r="BA598" s="81"/>
      <c r="BB598" s="81"/>
    </row>
    <row r="599">
      <c r="A599" s="3"/>
      <c r="B599" s="3"/>
      <c r="C599" s="3"/>
      <c r="D599" s="1"/>
      <c r="E599" s="3"/>
      <c r="F599" s="3"/>
      <c r="G599" s="3"/>
      <c r="H599" s="3"/>
      <c r="I599" s="3"/>
      <c r="J599" s="1"/>
      <c r="K599" s="3"/>
      <c r="L599" s="3"/>
      <c r="M599" s="3"/>
      <c r="N599" s="70"/>
      <c r="O599" s="3"/>
      <c r="P599" s="3"/>
      <c r="Q599" s="25"/>
      <c r="R599" s="3"/>
      <c r="S599" s="1"/>
      <c r="T599" s="1"/>
      <c r="U599" s="1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81"/>
      <c r="AN599" s="81"/>
      <c r="AO599" s="81"/>
      <c r="AP599" s="81"/>
      <c r="AQ599" s="81"/>
      <c r="AR599" s="81"/>
      <c r="AS599" s="81"/>
      <c r="AT599" s="81"/>
      <c r="AU599" s="81"/>
      <c r="AV599" s="81"/>
      <c r="AW599" s="81"/>
      <c r="AX599" s="81"/>
      <c r="AY599" s="81"/>
      <c r="AZ599" s="81"/>
      <c r="BA599" s="81"/>
      <c r="BB599" s="81"/>
    </row>
    <row r="600">
      <c r="A600" s="1"/>
      <c r="B600" s="3"/>
      <c r="C600" s="3"/>
      <c r="D600" s="144"/>
      <c r="E600" s="3"/>
      <c r="F600" s="3"/>
      <c r="G600" s="3"/>
      <c r="H600" s="3"/>
      <c r="I600" s="3"/>
      <c r="J600" s="3"/>
      <c r="K600" s="3"/>
      <c r="L600" s="3"/>
      <c r="M600" s="3"/>
      <c r="N600" s="70"/>
      <c r="O600" s="3"/>
      <c r="P600" s="3"/>
      <c r="Q600" s="25"/>
      <c r="R600" s="3"/>
      <c r="S600" s="1"/>
      <c r="T600" s="1"/>
      <c r="U600" s="1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81"/>
      <c r="AN600" s="81"/>
      <c r="AO600" s="81"/>
      <c r="AP600" s="81"/>
      <c r="AQ600" s="81"/>
      <c r="AR600" s="81"/>
      <c r="AS600" s="81"/>
      <c r="AT600" s="81"/>
      <c r="AU600" s="81"/>
      <c r="AV600" s="81"/>
      <c r="AW600" s="81"/>
      <c r="AX600" s="81"/>
      <c r="AY600" s="81"/>
      <c r="AZ600" s="81"/>
      <c r="BA600" s="81"/>
      <c r="BB600" s="81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70"/>
      <c r="O601" s="3"/>
      <c r="P601" s="3"/>
      <c r="Q601" s="25"/>
      <c r="R601" s="3"/>
      <c r="S601" s="1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1"/>
      <c r="AE601" s="3"/>
      <c r="AF601" s="3"/>
      <c r="AG601" s="3"/>
      <c r="AH601" s="3"/>
      <c r="AI601" s="3"/>
      <c r="AJ601" s="3"/>
      <c r="AK601" s="3"/>
      <c r="AL601" s="3"/>
      <c r="AM601" s="81"/>
      <c r="AN601" s="81"/>
      <c r="AO601" s="81"/>
      <c r="AP601" s="81"/>
      <c r="AQ601" s="81"/>
      <c r="AR601" s="81"/>
      <c r="AS601" s="81"/>
      <c r="AT601" s="81"/>
      <c r="AU601" s="81"/>
      <c r="AV601" s="81"/>
      <c r="AW601" s="81"/>
      <c r="AX601" s="81"/>
      <c r="AY601" s="81"/>
      <c r="AZ601" s="81"/>
      <c r="BA601" s="81"/>
      <c r="BB601" s="81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1"/>
      <c r="K602" s="3"/>
      <c r="L602" s="3"/>
      <c r="M602" s="3"/>
      <c r="N602" s="70"/>
      <c r="O602" s="3"/>
      <c r="P602" s="3"/>
      <c r="Q602" s="25"/>
      <c r="R602" s="3"/>
      <c r="S602" s="1"/>
      <c r="T602" s="1"/>
      <c r="U602" s="1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81"/>
      <c r="AN602" s="81"/>
      <c r="AO602" s="81"/>
      <c r="AP602" s="81"/>
      <c r="AQ602" s="81"/>
      <c r="AR602" s="81"/>
      <c r="AS602" s="81"/>
      <c r="AT602" s="81"/>
      <c r="AU602" s="81"/>
      <c r="AV602" s="81"/>
      <c r="AW602" s="81"/>
      <c r="AX602" s="81"/>
      <c r="AY602" s="81"/>
      <c r="AZ602" s="81"/>
      <c r="BA602" s="81"/>
      <c r="BB602" s="81"/>
    </row>
    <row r="603">
      <c r="A603" s="1"/>
      <c r="B603" s="3"/>
      <c r="C603" s="3"/>
      <c r="D603" s="3"/>
      <c r="E603" s="3"/>
      <c r="F603" s="3"/>
      <c r="G603" s="3"/>
      <c r="H603" s="3"/>
      <c r="I603" s="1"/>
      <c r="J603" s="1"/>
      <c r="K603" s="3"/>
      <c r="L603" s="3"/>
      <c r="M603" s="3"/>
      <c r="N603" s="105"/>
      <c r="O603" s="1"/>
      <c r="P603" s="3"/>
      <c r="Q603" s="25"/>
      <c r="R603" s="1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107"/>
      <c r="AN603" s="81"/>
      <c r="AO603" s="81"/>
      <c r="AP603" s="81"/>
      <c r="AQ603" s="81"/>
      <c r="AR603" s="81"/>
      <c r="AS603" s="81"/>
      <c r="AT603" s="81"/>
      <c r="AU603" s="81"/>
      <c r="AV603" s="81"/>
      <c r="AW603" s="81"/>
      <c r="AX603" s="81"/>
      <c r="AY603" s="81"/>
      <c r="AZ603" s="81"/>
      <c r="BA603" s="81"/>
      <c r="BB603" s="81"/>
    </row>
    <row r="604">
      <c r="A604" s="3"/>
      <c r="B604" s="3"/>
      <c r="C604" s="3"/>
      <c r="D604" s="1"/>
      <c r="E604" s="3"/>
      <c r="F604" s="3"/>
      <c r="G604" s="3"/>
      <c r="H604" s="3"/>
      <c r="I604" s="1"/>
      <c r="J604" s="1"/>
      <c r="K604" s="3"/>
      <c r="L604" s="3"/>
      <c r="M604" s="3"/>
      <c r="N604" s="105"/>
      <c r="O604" s="3"/>
      <c r="P604" s="3"/>
      <c r="Q604" s="25"/>
      <c r="R604" s="3"/>
      <c r="S604" s="1"/>
      <c r="T604" s="1"/>
      <c r="U604" s="1"/>
      <c r="V604" s="1"/>
      <c r="W604" s="3"/>
      <c r="X604" s="1"/>
      <c r="Y604" s="1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81"/>
      <c r="AN604" s="81"/>
      <c r="AO604" s="81"/>
      <c r="AP604" s="81"/>
      <c r="AQ604" s="81"/>
      <c r="AR604" s="81"/>
      <c r="AS604" s="81"/>
      <c r="AT604" s="81"/>
      <c r="AU604" s="81"/>
      <c r="AV604" s="81"/>
      <c r="AW604" s="81"/>
      <c r="AX604" s="81"/>
      <c r="AY604" s="81"/>
      <c r="AZ604" s="81"/>
      <c r="BA604" s="81"/>
      <c r="BB604" s="81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1"/>
      <c r="K605" s="3"/>
      <c r="L605" s="3"/>
      <c r="M605" s="3"/>
      <c r="N605" s="70"/>
      <c r="O605" s="3"/>
      <c r="P605" s="3"/>
      <c r="Q605" s="25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81"/>
      <c r="AN605" s="81"/>
      <c r="AO605" s="81"/>
      <c r="AP605" s="81"/>
      <c r="AQ605" s="81"/>
      <c r="AR605" s="81"/>
      <c r="AS605" s="81"/>
      <c r="AT605" s="81"/>
      <c r="AU605" s="81"/>
      <c r="AV605" s="81"/>
      <c r="AW605" s="81"/>
      <c r="AX605" s="81"/>
      <c r="AY605" s="81"/>
      <c r="AZ605" s="81"/>
      <c r="BA605" s="81"/>
      <c r="BB605" s="81"/>
    </row>
    <row r="606">
      <c r="A606" s="133"/>
      <c r="B606" s="3"/>
      <c r="C606" s="3"/>
      <c r="D606" s="3"/>
      <c r="E606" s="3"/>
      <c r="F606" s="3"/>
      <c r="G606" s="3"/>
      <c r="H606" s="3"/>
      <c r="I606" s="1"/>
      <c r="J606" s="3"/>
      <c r="K606" s="3"/>
      <c r="L606" s="3"/>
      <c r="M606" s="3"/>
      <c r="N606" s="70"/>
      <c r="O606" s="3"/>
      <c r="P606" s="3"/>
      <c r="Q606" s="25"/>
      <c r="R606" s="3"/>
      <c r="S606" s="1"/>
      <c r="T606" s="1"/>
      <c r="U606" s="1"/>
      <c r="V606" s="1"/>
      <c r="W606" s="3"/>
      <c r="X606" s="1"/>
      <c r="Y606" s="1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81"/>
      <c r="AN606" s="81"/>
      <c r="AO606" s="81"/>
      <c r="AP606" s="81"/>
      <c r="AQ606" s="81"/>
      <c r="AR606" s="81"/>
      <c r="AS606" s="81"/>
      <c r="AT606" s="81"/>
      <c r="AU606" s="81"/>
      <c r="AV606" s="81"/>
      <c r="AW606" s="81"/>
      <c r="AX606" s="81"/>
      <c r="AY606" s="81"/>
      <c r="AZ606" s="81"/>
      <c r="BA606" s="81"/>
      <c r="BB606" s="81"/>
    </row>
    <row r="607">
      <c r="A607" s="3"/>
      <c r="B607" s="3"/>
      <c r="C607" s="3"/>
      <c r="D607" s="144"/>
      <c r="E607" s="3"/>
      <c r="F607" s="3"/>
      <c r="G607" s="3"/>
      <c r="H607" s="3"/>
      <c r="I607" s="1"/>
      <c r="J607" s="1"/>
      <c r="K607" s="3"/>
      <c r="L607" s="3"/>
      <c r="M607" s="3"/>
      <c r="N607" s="70"/>
      <c r="O607" s="3"/>
      <c r="P607" s="3"/>
      <c r="Q607" s="25"/>
      <c r="R607" s="3"/>
      <c r="S607" s="1"/>
      <c r="T607" s="1"/>
      <c r="U607" s="1"/>
      <c r="V607" s="1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81"/>
      <c r="AN607" s="81"/>
      <c r="AO607" s="81"/>
      <c r="AP607" s="81"/>
      <c r="AQ607" s="81"/>
      <c r="AR607" s="81"/>
      <c r="AS607" s="81"/>
      <c r="AT607" s="81"/>
      <c r="AU607" s="81"/>
      <c r="AV607" s="81"/>
      <c r="AW607" s="81"/>
      <c r="AX607" s="81"/>
      <c r="AY607" s="81"/>
      <c r="AZ607" s="81"/>
      <c r="BA607" s="81"/>
      <c r="BB607" s="81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1"/>
      <c r="K608" s="3"/>
      <c r="L608" s="3"/>
      <c r="M608" s="3"/>
      <c r="N608" s="70"/>
      <c r="O608" s="3"/>
      <c r="P608" s="3"/>
      <c r="Q608" s="25"/>
      <c r="R608" s="3"/>
      <c r="S608" s="1"/>
      <c r="T608" s="1"/>
      <c r="U608" s="1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81"/>
      <c r="AN608" s="81"/>
      <c r="AO608" s="81"/>
      <c r="AP608" s="81"/>
      <c r="AQ608" s="81"/>
      <c r="AR608" s="81"/>
      <c r="AS608" s="81"/>
      <c r="AT608" s="81"/>
      <c r="AU608" s="81"/>
      <c r="AV608" s="81"/>
      <c r="AW608" s="81"/>
      <c r="AX608" s="81"/>
      <c r="AY608" s="81"/>
      <c r="AZ608" s="81"/>
      <c r="BA608" s="81"/>
      <c r="BB608" s="81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1"/>
      <c r="K609" s="3"/>
      <c r="L609" s="3"/>
      <c r="M609" s="3"/>
      <c r="N609" s="70"/>
      <c r="O609" s="3"/>
      <c r="P609" s="3"/>
      <c r="Q609" s="25"/>
      <c r="R609" s="3"/>
      <c r="S609" s="1"/>
      <c r="T609" s="1"/>
      <c r="U609" s="1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81"/>
      <c r="AN609" s="81"/>
      <c r="AO609" s="81"/>
      <c r="AP609" s="81"/>
      <c r="AQ609" s="81"/>
      <c r="AR609" s="81"/>
      <c r="AS609" s="81"/>
      <c r="AT609" s="81"/>
      <c r="AU609" s="81"/>
      <c r="AV609" s="81"/>
      <c r="AW609" s="81"/>
      <c r="AX609" s="81"/>
      <c r="AY609" s="81"/>
      <c r="AZ609" s="81"/>
      <c r="BA609" s="81"/>
      <c r="BB609" s="81"/>
    </row>
    <row r="610">
      <c r="A610" s="3"/>
      <c r="B610" s="1"/>
      <c r="C610" s="3"/>
      <c r="D610" s="1"/>
      <c r="E610" s="3"/>
      <c r="F610" s="3"/>
      <c r="G610" s="3"/>
      <c r="H610" s="3"/>
      <c r="I610" s="3"/>
      <c r="J610" s="1"/>
      <c r="K610" s="3"/>
      <c r="L610" s="3"/>
      <c r="M610" s="3"/>
      <c r="N610" s="70"/>
      <c r="O610" s="3"/>
      <c r="P610" s="3"/>
      <c r="Q610" s="25"/>
      <c r="R610" s="3"/>
      <c r="S610" s="1"/>
      <c r="T610" s="1"/>
      <c r="U610" s="1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81"/>
      <c r="AN610" s="81"/>
      <c r="AO610" s="81"/>
      <c r="AP610" s="81"/>
      <c r="AQ610" s="81"/>
      <c r="AR610" s="81"/>
      <c r="AS610" s="81"/>
      <c r="AT610" s="81"/>
      <c r="AU610" s="81"/>
      <c r="AV610" s="81"/>
      <c r="AW610" s="81"/>
      <c r="AX610" s="81"/>
      <c r="AY610" s="81"/>
      <c r="AZ610" s="81"/>
      <c r="BA610" s="81"/>
      <c r="BB610" s="81"/>
    </row>
    <row r="611">
      <c r="A611" s="3"/>
      <c r="B611" s="3"/>
      <c r="C611" s="3"/>
      <c r="D611" s="1"/>
      <c r="E611" s="3"/>
      <c r="F611" s="3"/>
      <c r="G611" s="3"/>
      <c r="H611" s="3"/>
      <c r="I611" s="3"/>
      <c r="J611" s="3"/>
      <c r="K611" s="3"/>
      <c r="L611" s="3"/>
      <c r="M611" s="3"/>
      <c r="N611" s="70"/>
      <c r="O611" s="3"/>
      <c r="P611" s="3"/>
      <c r="Q611" s="25"/>
      <c r="R611" s="3"/>
      <c r="S611" s="1"/>
      <c r="T611" s="1"/>
      <c r="U611" s="1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81"/>
      <c r="AN611" s="81"/>
      <c r="AO611" s="81"/>
      <c r="AP611" s="81"/>
      <c r="AQ611" s="81"/>
      <c r="AR611" s="81"/>
      <c r="AS611" s="81"/>
      <c r="AT611" s="81"/>
      <c r="AU611" s="81"/>
      <c r="AV611" s="81"/>
      <c r="AW611" s="81"/>
      <c r="AX611" s="81"/>
      <c r="AY611" s="81"/>
      <c r="AZ611" s="81"/>
      <c r="BA611" s="81"/>
      <c r="BB611" s="81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1"/>
      <c r="K612" s="3"/>
      <c r="L612" s="3"/>
      <c r="M612" s="3"/>
      <c r="N612" s="70"/>
      <c r="O612" s="3"/>
      <c r="P612" s="3"/>
      <c r="Q612" s="25"/>
      <c r="R612" s="3"/>
      <c r="S612" s="3"/>
      <c r="T612" s="1"/>
      <c r="U612" s="1"/>
      <c r="V612" s="3"/>
      <c r="W612" s="3"/>
      <c r="X612" s="1"/>
      <c r="Y612" s="1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81"/>
      <c r="AN612" s="81"/>
      <c r="AO612" s="81"/>
      <c r="AP612" s="81"/>
      <c r="AQ612" s="81"/>
      <c r="AR612" s="81"/>
      <c r="AS612" s="81"/>
      <c r="AT612" s="81"/>
      <c r="AU612" s="81"/>
      <c r="AV612" s="81"/>
      <c r="AW612" s="81"/>
      <c r="AX612" s="81"/>
      <c r="AY612" s="81"/>
      <c r="AZ612" s="81"/>
      <c r="BA612" s="81"/>
      <c r="BB612" s="81"/>
    </row>
    <row r="613">
      <c r="A613" s="3"/>
      <c r="B613" s="3"/>
      <c r="C613" s="3"/>
      <c r="D613" s="1"/>
      <c r="E613" s="3"/>
      <c r="F613" s="3"/>
      <c r="G613" s="3"/>
      <c r="H613" s="3"/>
      <c r="I613" s="3"/>
      <c r="J613" s="3"/>
      <c r="K613" s="3"/>
      <c r="L613" s="3"/>
      <c r="M613" s="3"/>
      <c r="N613" s="105"/>
      <c r="O613" s="1"/>
      <c r="P613" s="3"/>
      <c r="Q613" s="25"/>
      <c r="R613" s="1"/>
      <c r="S613" s="1"/>
      <c r="T613" s="1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81"/>
      <c r="AN613" s="81"/>
      <c r="AO613" s="81"/>
      <c r="AP613" s="81"/>
      <c r="AQ613" s="81"/>
      <c r="AR613" s="81"/>
      <c r="AS613" s="81"/>
      <c r="AT613" s="81"/>
      <c r="AU613" s="81"/>
      <c r="AV613" s="81"/>
      <c r="AW613" s="81"/>
      <c r="AX613" s="81"/>
      <c r="AY613" s="81"/>
      <c r="AZ613" s="81"/>
      <c r="BA613" s="81"/>
      <c r="BB613" s="81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70"/>
      <c r="O614" s="3"/>
      <c r="P614" s="3"/>
      <c r="Q614" s="25"/>
      <c r="R614" s="1"/>
      <c r="S614" s="1"/>
      <c r="T614" s="1"/>
      <c r="U614" s="1"/>
      <c r="V614" s="3"/>
      <c r="W614" s="3"/>
      <c r="X614" s="3"/>
      <c r="Y614" s="3"/>
      <c r="Z614" s="3"/>
      <c r="AA614" s="3"/>
      <c r="AB614" s="3"/>
      <c r="AC614" s="3"/>
      <c r="AD614" s="1"/>
      <c r="AE614" s="3"/>
      <c r="AF614" s="3"/>
      <c r="AG614" s="3"/>
      <c r="AH614" s="3"/>
      <c r="AI614" s="3"/>
      <c r="AJ614" s="3"/>
      <c r="AK614" s="3"/>
      <c r="AL614" s="3"/>
      <c r="AM614" s="81"/>
      <c r="AN614" s="81"/>
      <c r="AO614" s="81"/>
      <c r="AP614" s="81"/>
      <c r="AQ614" s="81"/>
      <c r="AR614" s="81"/>
      <c r="AS614" s="81"/>
      <c r="AT614" s="81"/>
      <c r="AU614" s="81"/>
      <c r="AV614" s="81"/>
      <c r="AW614" s="81"/>
      <c r="AX614" s="81"/>
      <c r="AY614" s="81"/>
      <c r="AZ614" s="81"/>
      <c r="BA614" s="81"/>
      <c r="BB614" s="81"/>
    </row>
    <row r="615">
      <c r="A615" s="3"/>
      <c r="B615" s="3"/>
      <c r="C615" s="3"/>
      <c r="D615" s="146"/>
      <c r="E615" s="147"/>
      <c r="F615" s="3"/>
      <c r="G615" s="3"/>
      <c r="H615" s="3"/>
      <c r="I615" s="3"/>
      <c r="J615" s="3"/>
      <c r="K615" s="3"/>
      <c r="L615" s="3"/>
      <c r="M615" s="3"/>
      <c r="N615" s="70"/>
      <c r="O615" s="3"/>
      <c r="P615" s="3"/>
      <c r="Q615" s="25"/>
      <c r="R615" s="3"/>
      <c r="S615" s="1"/>
      <c r="T615" s="1"/>
      <c r="U615" s="1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81"/>
      <c r="AN615" s="81"/>
      <c r="AO615" s="81"/>
      <c r="AP615" s="81"/>
      <c r="AQ615" s="81"/>
      <c r="AR615" s="81"/>
      <c r="AS615" s="81"/>
      <c r="AT615" s="81"/>
      <c r="AU615" s="81"/>
      <c r="AV615" s="81"/>
      <c r="AW615" s="81"/>
      <c r="AX615" s="81"/>
      <c r="AY615" s="81"/>
      <c r="AZ615" s="81"/>
      <c r="BA615" s="81"/>
      <c r="BB615" s="81"/>
    </row>
    <row r="616">
      <c r="A616" s="3"/>
      <c r="B616" s="3"/>
      <c r="C616" s="3"/>
      <c r="D616" s="1"/>
      <c r="E616" s="3"/>
      <c r="F616" s="3"/>
      <c r="G616" s="3"/>
      <c r="H616" s="3"/>
      <c r="I616" s="3"/>
      <c r="J616" s="1"/>
      <c r="K616" s="3"/>
      <c r="L616" s="3"/>
      <c r="M616" s="3"/>
      <c r="N616" s="70"/>
      <c r="O616" s="3"/>
      <c r="P616" s="3"/>
      <c r="Q616" s="25"/>
      <c r="R616" s="3"/>
      <c r="S616" s="1"/>
      <c r="T616" s="1"/>
      <c r="U616" s="1"/>
      <c r="V616" s="3"/>
      <c r="W616" s="3"/>
      <c r="X616" s="1"/>
      <c r="Y616" s="1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81"/>
      <c r="AN616" s="81"/>
      <c r="AO616" s="81"/>
      <c r="AP616" s="81"/>
      <c r="AQ616" s="81"/>
      <c r="AR616" s="81"/>
      <c r="AS616" s="81"/>
      <c r="AT616" s="81"/>
      <c r="AU616" s="81"/>
      <c r="AV616" s="81"/>
      <c r="AW616" s="81"/>
      <c r="AX616" s="81"/>
      <c r="AY616" s="81"/>
      <c r="AZ616" s="81"/>
      <c r="BA616" s="81"/>
      <c r="BB616" s="81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70"/>
      <c r="O617" s="3"/>
      <c r="P617" s="3"/>
      <c r="Q617" s="25"/>
      <c r="R617" s="3"/>
      <c r="S617" s="1"/>
      <c r="T617" s="1"/>
      <c r="U617" s="1"/>
      <c r="V617" s="3"/>
      <c r="W617" s="3"/>
      <c r="X617" s="1"/>
      <c r="Y617" s="1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81"/>
      <c r="AN617" s="81"/>
      <c r="AO617" s="81"/>
      <c r="AP617" s="81"/>
      <c r="AQ617" s="81"/>
      <c r="AR617" s="81"/>
      <c r="AS617" s="81"/>
      <c r="AT617" s="81"/>
      <c r="AU617" s="81"/>
      <c r="AV617" s="81"/>
      <c r="AW617" s="81"/>
      <c r="AX617" s="81"/>
      <c r="AY617" s="81"/>
      <c r="AZ617" s="81"/>
      <c r="BA617" s="81"/>
      <c r="BB617" s="81"/>
    </row>
    <row r="618">
      <c r="A618" s="1"/>
      <c r="B618" s="3"/>
      <c r="C618" s="3"/>
      <c r="D618" s="130"/>
      <c r="E618" s="3"/>
      <c r="F618" s="3"/>
      <c r="G618" s="3"/>
      <c r="H618" s="3"/>
      <c r="I618" s="3"/>
      <c r="J618" s="3"/>
      <c r="K618" s="3"/>
      <c r="L618" s="3"/>
      <c r="M618" s="3"/>
      <c r="N618" s="70"/>
      <c r="O618" s="1"/>
      <c r="P618" s="3"/>
      <c r="Q618" s="25"/>
      <c r="R618" s="1"/>
      <c r="S618" s="1"/>
      <c r="T618" s="1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81"/>
      <c r="AN618" s="81"/>
      <c r="AO618" s="81"/>
      <c r="AP618" s="81"/>
      <c r="AQ618" s="81"/>
      <c r="AR618" s="81"/>
      <c r="AS618" s="81"/>
      <c r="AT618" s="81"/>
      <c r="AU618" s="81"/>
      <c r="AV618" s="81"/>
      <c r="AW618" s="81"/>
      <c r="AX618" s="81"/>
      <c r="AY618" s="81"/>
      <c r="AZ618" s="81"/>
      <c r="BA618" s="81"/>
      <c r="BB618" s="81"/>
    </row>
    <row r="619">
      <c r="A619" s="1"/>
      <c r="B619" s="3"/>
      <c r="C619" s="3"/>
      <c r="D619" s="144"/>
      <c r="E619" s="3"/>
      <c r="F619" s="3"/>
      <c r="G619" s="3"/>
      <c r="H619" s="3"/>
      <c r="I619" s="3"/>
      <c r="J619" s="3"/>
      <c r="K619" s="3"/>
      <c r="L619" s="3"/>
      <c r="M619" s="3"/>
      <c r="N619" s="105"/>
      <c r="O619" s="3"/>
      <c r="P619" s="3"/>
      <c r="Q619" s="25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81"/>
      <c r="AN619" s="81"/>
      <c r="AO619" s="81"/>
      <c r="AP619" s="81"/>
      <c r="AQ619" s="81"/>
      <c r="AR619" s="81"/>
      <c r="AS619" s="81"/>
      <c r="AT619" s="81"/>
      <c r="AU619" s="81"/>
      <c r="AV619" s="81"/>
      <c r="AW619" s="81"/>
      <c r="AX619" s="81"/>
      <c r="AY619" s="81"/>
      <c r="AZ619" s="81"/>
      <c r="BA619" s="81"/>
      <c r="BB619" s="81"/>
    </row>
    <row r="620">
      <c r="A620" s="3"/>
      <c r="B620" s="1"/>
      <c r="C620" s="3"/>
      <c r="D620" s="148"/>
      <c r="E620" s="3"/>
      <c r="F620" s="3"/>
      <c r="G620" s="3"/>
      <c r="H620" s="3"/>
      <c r="I620" s="3"/>
      <c r="J620" s="3"/>
      <c r="K620" s="3"/>
      <c r="L620" s="3"/>
      <c r="M620" s="3"/>
      <c r="N620" s="70"/>
      <c r="O620" s="3"/>
      <c r="P620" s="3"/>
      <c r="Q620" s="25"/>
      <c r="R620" s="3"/>
      <c r="S620" s="1"/>
      <c r="T620" s="1"/>
      <c r="U620" s="1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81"/>
      <c r="AN620" s="81"/>
      <c r="AO620" s="81"/>
      <c r="AP620" s="81"/>
      <c r="AQ620" s="81"/>
      <c r="AR620" s="81"/>
      <c r="AS620" s="81"/>
      <c r="AT620" s="81"/>
      <c r="AU620" s="81"/>
      <c r="AV620" s="81"/>
      <c r="AW620" s="81"/>
      <c r="AX620" s="81"/>
      <c r="AY620" s="81"/>
      <c r="AZ620" s="81"/>
      <c r="BA620" s="81"/>
      <c r="BB620" s="81"/>
    </row>
    <row r="621">
      <c r="A621" s="3"/>
      <c r="B621" s="3"/>
      <c r="C621" s="3"/>
      <c r="D621" s="149"/>
      <c r="E621" s="3"/>
      <c r="F621" s="3"/>
      <c r="G621" s="3"/>
      <c r="H621" s="3"/>
      <c r="I621" s="3"/>
      <c r="J621" s="3"/>
      <c r="K621" s="3"/>
      <c r="L621" s="3"/>
      <c r="M621" s="3"/>
      <c r="N621" s="70"/>
      <c r="O621" s="3"/>
      <c r="P621" s="3"/>
      <c r="Q621" s="25"/>
      <c r="R621" s="3"/>
      <c r="S621" s="1"/>
      <c r="T621" s="1"/>
      <c r="U621" s="1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81"/>
      <c r="AN621" s="81"/>
      <c r="AO621" s="81"/>
      <c r="AP621" s="81"/>
      <c r="AQ621" s="81"/>
      <c r="AR621" s="81"/>
      <c r="AS621" s="81"/>
      <c r="AT621" s="81"/>
      <c r="AU621" s="81"/>
      <c r="AV621" s="81"/>
      <c r="AW621" s="81"/>
      <c r="AX621" s="81"/>
      <c r="AY621" s="81"/>
      <c r="AZ621" s="81"/>
      <c r="BA621" s="81"/>
      <c r="BB621" s="81"/>
    </row>
    <row r="622">
      <c r="A622" s="3"/>
      <c r="B622" s="3"/>
      <c r="C622" s="3"/>
      <c r="D622" s="150"/>
      <c r="E622" s="3"/>
      <c r="F622" s="3"/>
      <c r="G622" s="3"/>
      <c r="H622" s="3"/>
      <c r="I622" s="1"/>
      <c r="J622" s="1"/>
      <c r="K622" s="3"/>
      <c r="L622" s="3"/>
      <c r="M622" s="3"/>
      <c r="N622" s="70"/>
      <c r="O622" s="3"/>
      <c r="P622" s="3"/>
      <c r="Q622" s="25"/>
      <c r="R622" s="3"/>
      <c r="S622" s="3"/>
      <c r="T622" s="1"/>
      <c r="U622" s="1"/>
      <c r="V622" s="1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81"/>
      <c r="AN622" s="81"/>
      <c r="AO622" s="81"/>
      <c r="AP622" s="81"/>
      <c r="AQ622" s="81"/>
      <c r="AR622" s="81"/>
      <c r="AS622" s="81"/>
      <c r="AT622" s="81"/>
      <c r="AU622" s="81"/>
      <c r="AV622" s="81"/>
      <c r="AW622" s="81"/>
      <c r="AX622" s="81"/>
      <c r="AY622" s="81"/>
      <c r="AZ622" s="81"/>
      <c r="BA622" s="81"/>
      <c r="BB622" s="81"/>
    </row>
    <row r="623">
      <c r="A623" s="3"/>
      <c r="B623" s="3"/>
      <c r="C623" s="3"/>
      <c r="D623" s="146"/>
      <c r="E623" s="3"/>
      <c r="F623" s="3"/>
      <c r="G623" s="3"/>
      <c r="H623" s="3"/>
      <c r="I623" s="3"/>
      <c r="J623" s="3"/>
      <c r="K623" s="3"/>
      <c r="L623" s="3"/>
      <c r="M623" s="3"/>
      <c r="N623" s="70"/>
      <c r="O623" s="3"/>
      <c r="P623" s="3"/>
      <c r="Q623" s="142"/>
      <c r="R623" s="1"/>
      <c r="S623" s="1"/>
      <c r="T623" s="1"/>
      <c r="U623" s="1"/>
      <c r="V623" s="3"/>
      <c r="W623" s="1"/>
      <c r="X623" s="1"/>
      <c r="Y623" s="1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81"/>
      <c r="AN623" s="81"/>
      <c r="AO623" s="81"/>
      <c r="AP623" s="81"/>
      <c r="AQ623" s="81"/>
      <c r="AR623" s="81"/>
      <c r="AS623" s="81"/>
      <c r="AT623" s="81"/>
      <c r="AU623" s="81"/>
      <c r="AV623" s="81"/>
      <c r="AW623" s="81"/>
      <c r="AX623" s="81"/>
      <c r="AY623" s="81"/>
      <c r="AZ623" s="81"/>
      <c r="BA623" s="81"/>
      <c r="BB623" s="81"/>
    </row>
    <row r="624">
      <c r="A624" s="1"/>
      <c r="B624" s="3"/>
      <c r="C624" s="3"/>
      <c r="D624" s="3"/>
      <c r="E624" s="3"/>
      <c r="F624" s="3"/>
      <c r="G624" s="3"/>
      <c r="H624" s="3"/>
      <c r="I624" s="3"/>
      <c r="J624" s="1"/>
      <c r="K624" s="3"/>
      <c r="L624" s="3"/>
      <c r="M624" s="3"/>
      <c r="N624" s="70"/>
      <c r="O624" s="3"/>
      <c r="P624" s="3"/>
      <c r="Q624" s="25"/>
      <c r="R624" s="1"/>
      <c r="S624" s="1"/>
      <c r="T624" s="1"/>
      <c r="U624" s="1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81"/>
      <c r="AN624" s="81"/>
      <c r="AO624" s="81"/>
      <c r="AP624" s="81"/>
      <c r="AQ624" s="81"/>
      <c r="AR624" s="81"/>
      <c r="AS624" s="81"/>
      <c r="AT624" s="81"/>
      <c r="AU624" s="81"/>
      <c r="AV624" s="81"/>
      <c r="AW624" s="81"/>
      <c r="AX624" s="81"/>
      <c r="AY624" s="81"/>
      <c r="AZ624" s="81"/>
      <c r="BA624" s="81"/>
      <c r="BB624" s="81"/>
    </row>
    <row r="625">
      <c r="A625" s="3"/>
      <c r="B625" s="3"/>
      <c r="C625" s="3"/>
      <c r="D625" s="3"/>
      <c r="E625" s="3"/>
      <c r="F625" s="3"/>
      <c r="G625" s="3"/>
      <c r="H625" s="3"/>
      <c r="I625" s="1"/>
      <c r="J625" s="1"/>
      <c r="K625" s="3"/>
      <c r="L625" s="3"/>
      <c r="M625" s="1"/>
      <c r="N625" s="70"/>
      <c r="O625" s="3"/>
      <c r="P625" s="3"/>
      <c r="Q625" s="142"/>
      <c r="R625" s="3"/>
      <c r="S625" s="1"/>
      <c r="T625" s="1"/>
      <c r="U625" s="1"/>
      <c r="V625" s="3"/>
      <c r="W625" s="3"/>
      <c r="X625" s="1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81"/>
      <c r="AN625" s="81"/>
      <c r="AO625" s="81"/>
      <c r="AP625" s="81"/>
      <c r="AQ625" s="81"/>
      <c r="AR625" s="81"/>
      <c r="AS625" s="81"/>
      <c r="AT625" s="81"/>
      <c r="AU625" s="81"/>
      <c r="AV625" s="81"/>
      <c r="AW625" s="81"/>
      <c r="AX625" s="81"/>
      <c r="AY625" s="81"/>
      <c r="AZ625" s="81"/>
      <c r="BA625" s="81"/>
      <c r="BB625" s="81"/>
    </row>
    <row r="626">
      <c r="A626" s="3"/>
      <c r="B626" s="3"/>
      <c r="C626" s="3"/>
      <c r="D626" s="131"/>
      <c r="E626" s="3"/>
      <c r="F626" s="3"/>
      <c r="G626" s="3"/>
      <c r="H626" s="3"/>
      <c r="I626" s="3"/>
      <c r="J626" s="1"/>
      <c r="K626" s="3"/>
      <c r="L626" s="3"/>
      <c r="M626" s="3"/>
      <c r="N626" s="70"/>
      <c r="O626" s="3"/>
      <c r="P626" s="3"/>
      <c r="Q626" s="25"/>
      <c r="R626" s="1"/>
      <c r="S626" s="1"/>
      <c r="T626" s="1"/>
      <c r="U626" s="1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81"/>
      <c r="AN626" s="81"/>
      <c r="AO626" s="81"/>
      <c r="AP626" s="81"/>
      <c r="AQ626" s="81"/>
      <c r="AR626" s="81"/>
      <c r="AS626" s="81"/>
      <c r="AT626" s="81"/>
      <c r="AU626" s="81"/>
      <c r="AV626" s="81"/>
      <c r="AW626" s="81"/>
      <c r="AX626" s="81"/>
      <c r="AY626" s="81"/>
      <c r="AZ626" s="81"/>
      <c r="BA626" s="81"/>
      <c r="BB626" s="81"/>
    </row>
    <row r="627">
      <c r="A627" s="3"/>
      <c r="B627" s="3"/>
      <c r="C627" s="3"/>
      <c r="D627" s="126"/>
      <c r="E627" s="3"/>
      <c r="F627" s="3"/>
      <c r="G627" s="3"/>
      <c r="H627" s="3"/>
      <c r="I627" s="3"/>
      <c r="J627" s="3"/>
      <c r="K627" s="3"/>
      <c r="L627" s="3"/>
      <c r="M627" s="3"/>
      <c r="N627" s="105"/>
      <c r="O627" s="1"/>
      <c r="P627" s="3"/>
      <c r="Q627" s="25"/>
      <c r="R627" s="1"/>
      <c r="S627" s="1"/>
      <c r="T627" s="1"/>
      <c r="U627" s="1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81"/>
      <c r="AN627" s="81"/>
      <c r="AO627" s="81"/>
      <c r="AP627" s="81"/>
      <c r="AQ627" s="81"/>
      <c r="AR627" s="81"/>
      <c r="AS627" s="81"/>
      <c r="AT627" s="81"/>
      <c r="AU627" s="81"/>
      <c r="AV627" s="81"/>
      <c r="AW627" s="81"/>
      <c r="AX627" s="81"/>
      <c r="AY627" s="81"/>
      <c r="AZ627" s="81"/>
      <c r="BA627" s="81"/>
      <c r="BB627" s="81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1"/>
      <c r="K628" s="3"/>
      <c r="L628" s="3"/>
      <c r="M628" s="3"/>
      <c r="N628" s="105"/>
      <c r="O628" s="1"/>
      <c r="P628" s="3"/>
      <c r="Q628" s="25"/>
      <c r="R628" s="1"/>
      <c r="S628" s="1"/>
      <c r="T628" s="1"/>
      <c r="U628" s="1"/>
      <c r="V628" s="1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107"/>
      <c r="AN628" s="81"/>
      <c r="AO628" s="81"/>
      <c r="AP628" s="81"/>
      <c r="AQ628" s="81"/>
      <c r="AR628" s="81"/>
      <c r="AS628" s="81"/>
      <c r="AT628" s="81"/>
      <c r="AU628" s="81"/>
      <c r="AV628" s="81"/>
      <c r="AW628" s="81"/>
      <c r="AX628" s="81"/>
      <c r="AY628" s="81"/>
      <c r="AZ628" s="81"/>
      <c r="BA628" s="81"/>
      <c r="BB628" s="81"/>
    </row>
    <row r="629">
      <c r="A629" s="3"/>
      <c r="B629" s="3"/>
      <c r="C629" s="3"/>
      <c r="D629" s="131"/>
      <c r="E629" s="3"/>
      <c r="F629" s="3"/>
      <c r="G629" s="1"/>
      <c r="H629" s="3"/>
      <c r="I629" s="3"/>
      <c r="J629" s="3"/>
      <c r="K629" s="3"/>
      <c r="L629" s="3"/>
      <c r="M629" s="3"/>
      <c r="N629" s="70"/>
      <c r="O629" s="3"/>
      <c r="P629" s="3"/>
      <c r="Q629" s="25"/>
      <c r="R629" s="3"/>
      <c r="S629" s="1"/>
      <c r="T629" s="1"/>
      <c r="U629" s="1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81"/>
      <c r="AN629" s="81"/>
      <c r="AO629" s="81"/>
      <c r="AP629" s="81"/>
      <c r="AQ629" s="81"/>
      <c r="AR629" s="81"/>
      <c r="AS629" s="81"/>
      <c r="AT629" s="81"/>
      <c r="AU629" s="81"/>
      <c r="AV629" s="81"/>
      <c r="AW629" s="81"/>
      <c r="AX629" s="81"/>
      <c r="AY629" s="81"/>
      <c r="AZ629" s="81"/>
      <c r="BA629" s="81"/>
      <c r="BB629" s="81"/>
    </row>
    <row r="630">
      <c r="A630" s="1"/>
      <c r="B630" s="1"/>
      <c r="C630" s="3"/>
      <c r="D630" s="131"/>
      <c r="E630" s="3"/>
      <c r="F630" s="3"/>
      <c r="G630" s="1"/>
      <c r="H630" s="3"/>
      <c r="I630" s="1"/>
      <c r="J630" s="1"/>
      <c r="K630" s="3"/>
      <c r="L630" s="3"/>
      <c r="M630" s="3"/>
      <c r="N630" s="70"/>
      <c r="O630" s="3"/>
      <c r="P630" s="3"/>
      <c r="Q630" s="25"/>
      <c r="R630" s="3"/>
      <c r="S630" s="1"/>
      <c r="T630" s="1"/>
      <c r="U630" s="1"/>
      <c r="V630" s="1"/>
      <c r="W630" s="1"/>
      <c r="X630" s="1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81"/>
      <c r="AN630" s="81"/>
      <c r="AO630" s="81"/>
      <c r="AP630" s="81"/>
      <c r="AQ630" s="81"/>
      <c r="AR630" s="81"/>
      <c r="AS630" s="81"/>
      <c r="AT630" s="81"/>
      <c r="AU630" s="81"/>
      <c r="AV630" s="81"/>
      <c r="AW630" s="81"/>
      <c r="AX630" s="81"/>
      <c r="AY630" s="81"/>
      <c r="AZ630" s="81"/>
      <c r="BA630" s="81"/>
      <c r="BB630" s="81"/>
    </row>
    <row r="631">
      <c r="A631" s="3"/>
      <c r="B631" s="1"/>
      <c r="C631" s="3"/>
      <c r="D631" s="1"/>
      <c r="E631" s="1"/>
      <c r="F631" s="3"/>
      <c r="G631" s="3"/>
      <c r="H631" s="3"/>
      <c r="I631" s="151"/>
      <c r="J631" s="1"/>
      <c r="K631" s="3"/>
      <c r="L631" s="3"/>
      <c r="M631" s="3"/>
      <c r="N631" s="70"/>
      <c r="O631" s="3"/>
      <c r="P631" s="3"/>
      <c r="Q631" s="25"/>
      <c r="R631" s="3"/>
      <c r="S631" s="1"/>
      <c r="T631" s="1"/>
      <c r="U631" s="1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81"/>
      <c r="AN631" s="81"/>
      <c r="AO631" s="81"/>
      <c r="AP631" s="81"/>
      <c r="AQ631" s="81"/>
      <c r="AR631" s="81"/>
      <c r="AS631" s="81"/>
      <c r="AT631" s="81"/>
      <c r="AU631" s="81"/>
      <c r="AV631" s="81"/>
      <c r="AW631" s="81"/>
      <c r="AX631" s="81"/>
      <c r="AY631" s="81"/>
      <c r="AZ631" s="81"/>
      <c r="BA631" s="81"/>
      <c r="BB631" s="81"/>
    </row>
    <row r="632">
      <c r="A632" s="3"/>
      <c r="B632" s="3"/>
      <c r="C632" s="3"/>
      <c r="D632" s="3"/>
      <c r="E632" s="3"/>
      <c r="F632" s="3"/>
      <c r="G632" s="3"/>
      <c r="H632" s="3"/>
      <c r="I632" s="1"/>
      <c r="J632" s="1"/>
      <c r="K632" s="3"/>
      <c r="L632" s="3"/>
      <c r="M632" s="3"/>
      <c r="N632" s="70"/>
      <c r="O632" s="3"/>
      <c r="P632" s="3"/>
      <c r="Q632" s="25"/>
      <c r="R632" s="3"/>
      <c r="S632" s="3"/>
      <c r="T632" s="3"/>
      <c r="U632" s="3"/>
      <c r="V632" s="1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81"/>
      <c r="AN632" s="81"/>
      <c r="AO632" s="81"/>
      <c r="AP632" s="81"/>
      <c r="AQ632" s="81"/>
      <c r="AR632" s="81"/>
      <c r="AS632" s="81"/>
      <c r="AT632" s="81"/>
      <c r="AU632" s="81"/>
      <c r="AV632" s="81"/>
      <c r="AW632" s="81"/>
      <c r="AX632" s="81"/>
      <c r="AY632" s="81"/>
      <c r="AZ632" s="81"/>
      <c r="BA632" s="81"/>
      <c r="BB632" s="81"/>
    </row>
    <row r="633">
      <c r="A633" s="3"/>
      <c r="B633" s="1"/>
      <c r="C633" s="3"/>
      <c r="D633" s="146"/>
      <c r="E633" s="3"/>
      <c r="F633" s="3"/>
      <c r="G633" s="3"/>
      <c r="H633" s="3"/>
      <c r="I633" s="3"/>
      <c r="J633" s="1"/>
      <c r="K633" s="3"/>
      <c r="L633" s="3"/>
      <c r="M633" s="3"/>
      <c r="N633" s="70"/>
      <c r="O633" s="3"/>
      <c r="P633" s="3"/>
      <c r="Q633" s="25"/>
      <c r="R633" s="1"/>
      <c r="S633" s="1"/>
      <c r="T633" s="1"/>
      <c r="U633" s="1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81"/>
      <c r="AN633" s="81"/>
      <c r="AO633" s="81"/>
      <c r="AP633" s="81"/>
      <c r="AQ633" s="81"/>
      <c r="AR633" s="81"/>
      <c r="AS633" s="81"/>
      <c r="AT633" s="81"/>
      <c r="AU633" s="81"/>
      <c r="AV633" s="81"/>
      <c r="AW633" s="81"/>
      <c r="AX633" s="81"/>
      <c r="AY633" s="81"/>
      <c r="AZ633" s="81"/>
      <c r="BA633" s="81"/>
      <c r="BB633" s="81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70"/>
      <c r="O634" s="3"/>
      <c r="P634" s="3"/>
      <c r="Q634" s="25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81"/>
      <c r="AN634" s="81"/>
      <c r="AO634" s="81"/>
      <c r="AP634" s="81"/>
      <c r="AQ634" s="81"/>
      <c r="AR634" s="81"/>
      <c r="AS634" s="81"/>
      <c r="AT634" s="81"/>
      <c r="AU634" s="81"/>
      <c r="AV634" s="81"/>
      <c r="AW634" s="81"/>
      <c r="AX634" s="81"/>
      <c r="AY634" s="81"/>
      <c r="AZ634" s="81"/>
      <c r="BA634" s="81"/>
      <c r="BB634" s="81"/>
    </row>
    <row r="635">
      <c r="A635" s="3"/>
      <c r="B635" s="3"/>
      <c r="C635" s="3"/>
      <c r="D635" s="3"/>
      <c r="E635" s="3"/>
      <c r="F635" s="3"/>
      <c r="G635" s="3"/>
      <c r="H635" s="3"/>
      <c r="I635" s="1"/>
      <c r="J635" s="1"/>
      <c r="K635" s="3"/>
      <c r="L635" s="3"/>
      <c r="M635" s="3"/>
      <c r="N635" s="70"/>
      <c r="O635" s="3"/>
      <c r="P635" s="3"/>
      <c r="Q635" s="25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81"/>
      <c r="AN635" s="81"/>
      <c r="AO635" s="81"/>
      <c r="AP635" s="81"/>
      <c r="AQ635" s="81"/>
      <c r="AR635" s="81"/>
      <c r="AS635" s="81"/>
      <c r="AT635" s="81"/>
      <c r="AU635" s="81"/>
      <c r="AV635" s="81"/>
      <c r="AW635" s="81"/>
      <c r="AX635" s="81"/>
      <c r="AY635" s="81"/>
      <c r="AZ635" s="81"/>
      <c r="BA635" s="81"/>
      <c r="BB635" s="81"/>
    </row>
    <row r="636">
      <c r="A636" s="3"/>
      <c r="B636" s="1"/>
      <c r="C636" s="3"/>
      <c r="D636" s="144"/>
      <c r="E636" s="1"/>
      <c r="F636" s="3"/>
      <c r="G636" s="3"/>
      <c r="H636" s="3"/>
      <c r="I636" s="3"/>
      <c r="J636" s="1"/>
      <c r="K636" s="3"/>
      <c r="L636" s="3"/>
      <c r="M636" s="3"/>
      <c r="N636" s="70"/>
      <c r="O636" s="3"/>
      <c r="P636" s="3"/>
      <c r="Q636" s="25"/>
      <c r="R636" s="1"/>
      <c r="S636" s="1"/>
      <c r="T636" s="1"/>
      <c r="U636" s="1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81"/>
      <c r="AN636" s="81"/>
      <c r="AO636" s="81"/>
      <c r="AP636" s="81"/>
      <c r="AQ636" s="81"/>
      <c r="AR636" s="81"/>
      <c r="AS636" s="81"/>
      <c r="AT636" s="81"/>
      <c r="AU636" s="81"/>
      <c r="AV636" s="81"/>
      <c r="AW636" s="81"/>
      <c r="AX636" s="81"/>
      <c r="AY636" s="81"/>
      <c r="AZ636" s="81"/>
      <c r="BA636" s="81"/>
      <c r="BB636" s="81"/>
    </row>
    <row r="637">
      <c r="A637" s="3"/>
      <c r="B637" s="3"/>
      <c r="C637" s="3"/>
      <c r="D637" s="3"/>
      <c r="E637" s="3"/>
      <c r="F637" s="3"/>
      <c r="G637" s="3"/>
      <c r="H637" s="3"/>
      <c r="I637" s="1"/>
      <c r="J637" s="1"/>
      <c r="K637" s="3"/>
      <c r="L637" s="3"/>
      <c r="M637" s="3"/>
      <c r="N637" s="70"/>
      <c r="O637" s="3"/>
      <c r="P637" s="3"/>
      <c r="Q637" s="25"/>
      <c r="R637" s="1"/>
      <c r="S637" s="1"/>
      <c r="T637" s="1"/>
      <c r="U637" s="1"/>
      <c r="V637" s="1"/>
      <c r="W637" s="1"/>
      <c r="X637" s="1"/>
      <c r="Y637" s="1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81"/>
      <c r="AN637" s="81"/>
      <c r="AO637" s="81"/>
      <c r="AP637" s="81"/>
      <c r="AQ637" s="81"/>
      <c r="AR637" s="81"/>
      <c r="AS637" s="81"/>
      <c r="AT637" s="81"/>
      <c r="AU637" s="81"/>
      <c r="AV637" s="81"/>
      <c r="AW637" s="81"/>
      <c r="AX637" s="81"/>
      <c r="AY637" s="81"/>
      <c r="AZ637" s="81"/>
      <c r="BA637" s="81"/>
      <c r="BB637" s="81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1"/>
      <c r="K638" s="3"/>
      <c r="L638" s="3"/>
      <c r="M638" s="3"/>
      <c r="N638" s="70"/>
      <c r="O638" s="3"/>
      <c r="P638" s="3"/>
      <c r="Q638" s="25"/>
      <c r="R638" s="1"/>
      <c r="S638" s="1"/>
      <c r="T638" s="1"/>
      <c r="U638" s="1"/>
      <c r="V638" s="1"/>
      <c r="W638" s="1"/>
      <c r="X638" s="1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81"/>
      <c r="AN638" s="81"/>
      <c r="AO638" s="81"/>
      <c r="AP638" s="81"/>
      <c r="AQ638" s="81"/>
      <c r="AR638" s="81"/>
      <c r="AS638" s="81"/>
      <c r="AT638" s="81"/>
      <c r="AU638" s="81"/>
      <c r="AV638" s="81"/>
      <c r="AW638" s="81"/>
      <c r="AX638" s="81"/>
      <c r="AY638" s="81"/>
      <c r="AZ638" s="81"/>
      <c r="BA638" s="81"/>
      <c r="BB638" s="81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1"/>
      <c r="K639" s="3"/>
      <c r="L639" s="3"/>
      <c r="M639" s="3"/>
      <c r="N639" s="70"/>
      <c r="O639" s="3"/>
      <c r="P639" s="3"/>
      <c r="Q639" s="25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81"/>
      <c r="AN639" s="81"/>
      <c r="AO639" s="81"/>
      <c r="AP639" s="81"/>
      <c r="AQ639" s="81"/>
      <c r="AR639" s="81"/>
      <c r="AS639" s="81"/>
      <c r="AT639" s="81"/>
      <c r="AU639" s="81"/>
      <c r="AV639" s="81"/>
      <c r="AW639" s="81"/>
      <c r="AX639" s="81"/>
      <c r="AY639" s="81"/>
      <c r="AZ639" s="81"/>
      <c r="BA639" s="81"/>
      <c r="BB639" s="81"/>
    </row>
    <row r="640">
      <c r="A640" s="3"/>
      <c r="B640" s="3"/>
      <c r="C640" s="3"/>
      <c r="D640" s="3"/>
      <c r="E640" s="3"/>
      <c r="F640" s="1"/>
      <c r="G640" s="3"/>
      <c r="H640" s="3"/>
      <c r="I640" s="3"/>
      <c r="J640" s="1"/>
      <c r="K640" s="3"/>
      <c r="L640" s="3"/>
      <c r="M640" s="3"/>
      <c r="N640" s="70"/>
      <c r="O640" s="3"/>
      <c r="P640" s="3"/>
      <c r="Q640" s="25"/>
      <c r="R640" s="1"/>
      <c r="S640" s="1"/>
      <c r="T640" s="1"/>
      <c r="U640" s="1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81"/>
      <c r="AN640" s="81"/>
      <c r="AO640" s="81"/>
      <c r="AP640" s="81"/>
      <c r="AQ640" s="81"/>
      <c r="AR640" s="81"/>
      <c r="AS640" s="81"/>
      <c r="AT640" s="81"/>
      <c r="AU640" s="81"/>
      <c r="AV640" s="81"/>
      <c r="AW640" s="81"/>
      <c r="AX640" s="81"/>
      <c r="AY640" s="81"/>
      <c r="AZ640" s="81"/>
      <c r="BA640" s="81"/>
      <c r="BB640" s="81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1"/>
      <c r="K641" s="3"/>
      <c r="L641" s="3"/>
      <c r="M641" s="3"/>
      <c r="N641" s="70"/>
      <c r="O641" s="3"/>
      <c r="P641" s="3"/>
      <c r="Q641" s="25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81"/>
      <c r="AN641" s="81"/>
      <c r="AO641" s="81"/>
      <c r="AP641" s="81"/>
      <c r="AQ641" s="81"/>
      <c r="AR641" s="81"/>
      <c r="AS641" s="81"/>
      <c r="AT641" s="81"/>
      <c r="AU641" s="81"/>
      <c r="AV641" s="81"/>
      <c r="AW641" s="81"/>
      <c r="AX641" s="81"/>
      <c r="AY641" s="81"/>
      <c r="AZ641" s="81"/>
      <c r="BA641" s="81"/>
      <c r="BB641" s="81"/>
    </row>
    <row r="642">
      <c r="A642" s="1"/>
      <c r="B642" s="3"/>
      <c r="C642" s="3"/>
      <c r="D642" s="3"/>
      <c r="E642" s="3"/>
      <c r="F642" s="3"/>
      <c r="G642" s="3"/>
      <c r="H642" s="3"/>
      <c r="I642" s="1"/>
      <c r="J642" s="3"/>
      <c r="K642" s="3"/>
      <c r="L642" s="3"/>
      <c r="M642" s="3"/>
      <c r="N642" s="70"/>
      <c r="O642" s="3"/>
      <c r="P642" s="3"/>
      <c r="Q642" s="25"/>
      <c r="R642" s="3"/>
      <c r="S642" s="3"/>
      <c r="T642" s="1"/>
      <c r="U642" s="1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81"/>
      <c r="AN642" s="81"/>
      <c r="AO642" s="81"/>
      <c r="AP642" s="81"/>
      <c r="AQ642" s="81"/>
      <c r="AR642" s="81"/>
      <c r="AS642" s="81"/>
      <c r="AT642" s="81"/>
      <c r="AU642" s="81"/>
      <c r="AV642" s="81"/>
      <c r="AW642" s="81"/>
      <c r="AX642" s="81"/>
      <c r="AY642" s="81"/>
      <c r="AZ642" s="81"/>
      <c r="BA642" s="81"/>
      <c r="BB642" s="81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1"/>
      <c r="K643" s="152"/>
      <c r="L643" s="3"/>
      <c r="M643" s="3"/>
      <c r="N643" s="105"/>
      <c r="O643" s="1"/>
      <c r="P643" s="3"/>
      <c r="Q643" s="25"/>
      <c r="R643" s="1"/>
      <c r="S643" s="1"/>
      <c r="T643" s="1"/>
      <c r="U643" s="1"/>
      <c r="V643" s="3"/>
      <c r="W643" s="1"/>
      <c r="X643" s="1"/>
      <c r="Y643" s="1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81"/>
      <c r="AN643" s="81"/>
      <c r="AO643" s="81"/>
      <c r="AP643" s="81"/>
      <c r="AQ643" s="81"/>
      <c r="AR643" s="81"/>
      <c r="AS643" s="81"/>
      <c r="AT643" s="81"/>
      <c r="AU643" s="81"/>
      <c r="AV643" s="81"/>
      <c r="AW643" s="81"/>
      <c r="AX643" s="81"/>
      <c r="AY643" s="81"/>
      <c r="AZ643" s="81"/>
      <c r="BA643" s="81"/>
      <c r="BB643" s="81"/>
    </row>
    <row r="644">
      <c r="A644" s="3"/>
      <c r="B644" s="3"/>
      <c r="C644" s="3"/>
      <c r="D644" s="3"/>
      <c r="E644" s="3"/>
      <c r="F644" s="3"/>
      <c r="G644" s="3"/>
      <c r="H644" s="3"/>
      <c r="I644" s="1"/>
      <c r="J644" s="1"/>
      <c r="K644" s="3"/>
      <c r="L644" s="3"/>
      <c r="M644" s="3"/>
      <c r="N644" s="70"/>
      <c r="O644" s="3"/>
      <c r="P644" s="3"/>
      <c r="Q644" s="25"/>
      <c r="R644" s="3"/>
      <c r="S644" s="3"/>
      <c r="T644" s="1"/>
      <c r="U644" s="1"/>
      <c r="V644" s="1"/>
      <c r="W644" s="3"/>
      <c r="X644" s="1"/>
      <c r="Y644" s="1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81"/>
      <c r="AN644" s="81"/>
      <c r="AO644" s="81"/>
      <c r="AP644" s="81"/>
      <c r="AQ644" s="81"/>
      <c r="AR644" s="81"/>
      <c r="AS644" s="81"/>
      <c r="AT644" s="81"/>
      <c r="AU644" s="81"/>
      <c r="AV644" s="81"/>
      <c r="AW644" s="81"/>
      <c r="AX644" s="81"/>
      <c r="AY644" s="81"/>
      <c r="AZ644" s="81"/>
      <c r="BA644" s="81"/>
      <c r="BB644" s="81"/>
    </row>
    <row r="645">
      <c r="A645" s="3"/>
      <c r="B645" s="1"/>
      <c r="C645" s="3"/>
      <c r="D645" s="3"/>
      <c r="E645" s="3"/>
      <c r="F645" s="3"/>
      <c r="G645" s="3"/>
      <c r="H645" s="3"/>
      <c r="I645" s="3"/>
      <c r="J645" s="1"/>
      <c r="K645" s="3"/>
      <c r="L645" s="3"/>
      <c r="M645" s="3"/>
      <c r="N645" s="70"/>
      <c r="O645" s="3"/>
      <c r="P645" s="3"/>
      <c r="Q645" s="25"/>
      <c r="R645" s="1"/>
      <c r="S645" s="1"/>
      <c r="T645" s="1"/>
      <c r="U645" s="1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81"/>
      <c r="AN645" s="81"/>
      <c r="AO645" s="81"/>
      <c r="AP645" s="81"/>
      <c r="AQ645" s="81"/>
      <c r="AR645" s="81"/>
      <c r="AS645" s="81"/>
      <c r="AT645" s="81"/>
      <c r="AU645" s="81"/>
      <c r="AV645" s="81"/>
      <c r="AW645" s="81"/>
      <c r="AX645" s="81"/>
      <c r="AY645" s="81"/>
      <c r="AZ645" s="81"/>
      <c r="BA645" s="81"/>
      <c r="BB645" s="81"/>
    </row>
    <row r="646">
      <c r="A646" s="3"/>
      <c r="B646" s="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105"/>
      <c r="O646" s="3"/>
      <c r="P646" s="3"/>
      <c r="Q646" s="25"/>
      <c r="R646" s="3"/>
      <c r="S646" s="1"/>
      <c r="T646" s="1"/>
      <c r="U646" s="1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81"/>
      <c r="AN646" s="81"/>
      <c r="AO646" s="81"/>
      <c r="AP646" s="81"/>
      <c r="AQ646" s="81"/>
      <c r="AR646" s="81"/>
      <c r="AS646" s="81"/>
      <c r="AT646" s="81"/>
      <c r="AU646" s="81"/>
      <c r="AV646" s="81"/>
      <c r="AW646" s="81"/>
      <c r="AX646" s="81"/>
      <c r="AY646" s="81"/>
      <c r="AZ646" s="81"/>
      <c r="BA646" s="81"/>
      <c r="BB646" s="81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70"/>
      <c r="O647" s="3"/>
      <c r="P647" s="3"/>
      <c r="Q647" s="25"/>
      <c r="R647" s="3"/>
      <c r="S647" s="1"/>
      <c r="T647" s="3"/>
      <c r="U647" s="1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81"/>
      <c r="AN647" s="81"/>
      <c r="AO647" s="81"/>
      <c r="AP647" s="81"/>
      <c r="AQ647" s="81"/>
      <c r="AR647" s="81"/>
      <c r="AS647" s="81"/>
      <c r="AT647" s="81"/>
      <c r="AU647" s="81"/>
      <c r="AV647" s="81"/>
      <c r="AW647" s="81"/>
      <c r="AX647" s="81"/>
      <c r="AY647" s="81"/>
      <c r="AZ647" s="81"/>
      <c r="BA647" s="81"/>
      <c r="BB647" s="81"/>
    </row>
    <row r="648">
      <c r="A648" s="3"/>
      <c r="B648" s="3"/>
      <c r="C648" s="3"/>
      <c r="D648" s="126"/>
      <c r="E648" s="3"/>
      <c r="F648" s="3"/>
      <c r="G648" s="3"/>
      <c r="H648" s="3"/>
      <c r="I648" s="3"/>
      <c r="J648" s="1"/>
      <c r="K648" s="3"/>
      <c r="L648" s="3"/>
      <c r="M648" s="3"/>
      <c r="N648" s="70"/>
      <c r="O648" s="3"/>
      <c r="P648" s="3"/>
      <c r="Q648" s="25"/>
      <c r="R648" s="3"/>
      <c r="S648" s="1"/>
      <c r="T648" s="1"/>
      <c r="U648" s="1"/>
      <c r="V648" s="3"/>
      <c r="W648" s="1"/>
      <c r="X648" s="1"/>
      <c r="Y648" s="1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81"/>
      <c r="AN648" s="81"/>
      <c r="AO648" s="81"/>
      <c r="AP648" s="81"/>
      <c r="AQ648" s="81"/>
      <c r="AR648" s="81"/>
      <c r="AS648" s="81"/>
      <c r="AT648" s="81"/>
      <c r="AU648" s="81"/>
      <c r="AV648" s="81"/>
      <c r="AW648" s="81"/>
      <c r="AX648" s="81"/>
      <c r="AY648" s="81"/>
      <c r="AZ648" s="81"/>
      <c r="BA648" s="81"/>
      <c r="BB648" s="81"/>
    </row>
    <row r="649">
      <c r="A649" s="3"/>
      <c r="B649" s="3"/>
      <c r="C649" s="3"/>
      <c r="D649" s="1"/>
      <c r="E649" s="3"/>
      <c r="F649" s="1"/>
      <c r="G649" s="3"/>
      <c r="H649" s="3"/>
      <c r="I649" s="1"/>
      <c r="J649" s="3"/>
      <c r="K649" s="3"/>
      <c r="L649" s="3"/>
      <c r="M649" s="3"/>
      <c r="N649" s="105"/>
      <c r="O649" s="1"/>
      <c r="P649" s="3"/>
      <c r="Q649" s="25"/>
      <c r="R649" s="1"/>
      <c r="S649" s="1"/>
      <c r="T649" s="3"/>
      <c r="U649" s="3"/>
      <c r="V649" s="3"/>
      <c r="W649" s="1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81"/>
      <c r="AN649" s="81"/>
      <c r="AO649" s="81"/>
      <c r="AP649" s="81"/>
      <c r="AQ649" s="81"/>
      <c r="AR649" s="81"/>
      <c r="AS649" s="81"/>
      <c r="AT649" s="81"/>
      <c r="AU649" s="81"/>
      <c r="AV649" s="81"/>
      <c r="AW649" s="81"/>
      <c r="AX649" s="81"/>
      <c r="AY649" s="81"/>
      <c r="AZ649" s="81"/>
      <c r="BA649" s="81"/>
      <c r="BB649" s="81"/>
    </row>
    <row r="650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70"/>
      <c r="O650" s="3"/>
      <c r="P650" s="3"/>
      <c r="Q650" s="25"/>
      <c r="R650" s="3"/>
      <c r="S650" s="1"/>
      <c r="T650" s="1"/>
      <c r="U650" s="1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81"/>
      <c r="AN650" s="81"/>
      <c r="AO650" s="81"/>
      <c r="AP650" s="81"/>
      <c r="AQ650" s="81"/>
      <c r="AR650" s="81"/>
      <c r="AS650" s="81"/>
      <c r="AT650" s="81"/>
      <c r="AU650" s="81"/>
      <c r="AV650" s="81"/>
      <c r="AW650" s="81"/>
      <c r="AX650" s="81"/>
      <c r="AY650" s="81"/>
      <c r="AZ650" s="81"/>
      <c r="BA650" s="81"/>
      <c r="BB650" s="81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1"/>
      <c r="K651" s="3"/>
      <c r="L651" s="3"/>
      <c r="M651" s="3"/>
      <c r="N651" s="70"/>
      <c r="O651" s="3"/>
      <c r="P651" s="3"/>
      <c r="Q651" s="25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81"/>
      <c r="AN651" s="81"/>
      <c r="AO651" s="81"/>
      <c r="AP651" s="81"/>
      <c r="AQ651" s="81"/>
      <c r="AR651" s="81"/>
      <c r="AS651" s="81"/>
      <c r="AT651" s="81"/>
      <c r="AU651" s="81"/>
      <c r="AV651" s="81"/>
      <c r="AW651" s="81"/>
      <c r="AX651" s="81"/>
      <c r="AY651" s="81"/>
      <c r="AZ651" s="81"/>
      <c r="BA651" s="81"/>
      <c r="BB651" s="81"/>
    </row>
    <row r="652">
      <c r="A652" s="3"/>
      <c r="B652" s="3"/>
      <c r="C652" s="115"/>
      <c r="D652" s="3"/>
      <c r="E652" s="3"/>
      <c r="F652" s="3"/>
      <c r="G652" s="3"/>
      <c r="H652" s="3"/>
      <c r="I652" s="3"/>
      <c r="J652" s="1"/>
      <c r="K652" s="3"/>
      <c r="L652" s="3"/>
      <c r="M652" s="3"/>
      <c r="N652" s="70"/>
      <c r="O652" s="3"/>
      <c r="P652" s="3"/>
      <c r="Q652" s="25"/>
      <c r="R652" s="3"/>
      <c r="S652" s="1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81"/>
      <c r="AN652" s="81"/>
      <c r="AO652" s="81"/>
      <c r="AP652" s="81"/>
      <c r="AQ652" s="81"/>
      <c r="AR652" s="81"/>
      <c r="AS652" s="81"/>
      <c r="AT652" s="81"/>
      <c r="AU652" s="81"/>
      <c r="AV652" s="81"/>
      <c r="AW652" s="81"/>
      <c r="AX652" s="81"/>
      <c r="AY652" s="81"/>
      <c r="AZ652" s="81"/>
      <c r="BA652" s="81"/>
      <c r="BB652" s="81"/>
    </row>
    <row r="653">
      <c r="A653" s="3"/>
      <c r="B653" s="3"/>
      <c r="C653" s="3"/>
      <c r="D653" s="3"/>
      <c r="E653" s="70"/>
      <c r="F653" s="3"/>
      <c r="G653" s="3"/>
      <c r="H653" s="3"/>
      <c r="I653" s="3"/>
      <c r="J653" s="3"/>
      <c r="K653" s="3"/>
      <c r="L653" s="3"/>
      <c r="M653" s="3"/>
      <c r="N653" s="105"/>
      <c r="O653" s="3"/>
      <c r="P653" s="3"/>
      <c r="Q653" s="25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81"/>
      <c r="AN653" s="81"/>
      <c r="AO653" s="81"/>
      <c r="AP653" s="81"/>
      <c r="AQ653" s="81"/>
      <c r="AR653" s="81"/>
      <c r="AS653" s="81"/>
      <c r="AT653" s="81"/>
      <c r="AU653" s="81"/>
      <c r="AV653" s="81"/>
      <c r="AW653" s="81"/>
      <c r="AX653" s="81"/>
      <c r="AY653" s="81"/>
      <c r="AZ653" s="81"/>
      <c r="BA653" s="81"/>
      <c r="BB653" s="81"/>
    </row>
    <row r="654">
      <c r="A654" s="3"/>
      <c r="B654" s="3"/>
      <c r="C654" s="3"/>
      <c r="D654" s="126"/>
      <c r="E654" s="3"/>
      <c r="F654" s="3"/>
      <c r="G654" s="3"/>
      <c r="H654" s="3"/>
      <c r="I654" s="1"/>
      <c r="J654" s="3"/>
      <c r="K654" s="3"/>
      <c r="L654" s="3"/>
      <c r="M654" s="3"/>
      <c r="N654" s="70"/>
      <c r="O654" s="3"/>
      <c r="P654" s="3"/>
      <c r="Q654" s="25"/>
      <c r="R654" s="3"/>
      <c r="S654" s="1"/>
      <c r="T654" s="1"/>
      <c r="U654" s="1"/>
      <c r="V654" s="1"/>
      <c r="W654" s="1"/>
      <c r="X654" s="1"/>
      <c r="Y654" s="1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81"/>
      <c r="AN654" s="81"/>
      <c r="AO654" s="81"/>
      <c r="AP654" s="81"/>
      <c r="AQ654" s="81"/>
      <c r="AR654" s="81"/>
      <c r="AS654" s="81"/>
      <c r="AT654" s="81"/>
      <c r="AU654" s="81"/>
      <c r="AV654" s="81"/>
      <c r="AW654" s="81"/>
      <c r="AX654" s="81"/>
      <c r="AY654" s="81"/>
      <c r="AZ654" s="81"/>
      <c r="BA654" s="81"/>
      <c r="BB654" s="81"/>
    </row>
    <row r="655">
      <c r="A655" s="3"/>
      <c r="B655" s="3"/>
      <c r="C655" s="3"/>
      <c r="D655" s="3"/>
      <c r="E655" s="3"/>
      <c r="F655" s="3"/>
      <c r="G655" s="3"/>
      <c r="H655" s="3"/>
      <c r="I655" s="1"/>
      <c r="J655" s="1"/>
      <c r="K655" s="3"/>
      <c r="L655" s="3"/>
      <c r="M655" s="3"/>
      <c r="N655" s="70"/>
      <c r="O655" s="3"/>
      <c r="P655" s="3"/>
      <c r="Q655" s="25"/>
      <c r="R655" s="3"/>
      <c r="S655" s="3"/>
      <c r="T655" s="3"/>
      <c r="U655" s="3"/>
      <c r="V655" s="1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81"/>
      <c r="AN655" s="81"/>
      <c r="AO655" s="81"/>
      <c r="AP655" s="81"/>
      <c r="AQ655" s="81"/>
      <c r="AR655" s="81"/>
      <c r="AS655" s="81"/>
      <c r="AT655" s="81"/>
      <c r="AU655" s="81"/>
      <c r="AV655" s="81"/>
      <c r="AW655" s="81"/>
      <c r="AX655" s="81"/>
      <c r="AY655" s="81"/>
      <c r="AZ655" s="81"/>
      <c r="BA655" s="81"/>
      <c r="BB655" s="81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1"/>
      <c r="K656" s="3"/>
      <c r="L656" s="3"/>
      <c r="M656" s="3"/>
      <c r="N656" s="70"/>
      <c r="O656" s="3"/>
      <c r="P656" s="3"/>
      <c r="Q656" s="25"/>
      <c r="R656" s="3"/>
      <c r="S656" s="1"/>
      <c r="T656" s="1"/>
      <c r="U656" s="1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81"/>
      <c r="AN656" s="81"/>
      <c r="AO656" s="81"/>
      <c r="AP656" s="81"/>
      <c r="AQ656" s="81"/>
      <c r="AR656" s="81"/>
      <c r="AS656" s="81"/>
      <c r="AT656" s="81"/>
      <c r="AU656" s="81"/>
      <c r="AV656" s="81"/>
      <c r="AW656" s="81"/>
      <c r="AX656" s="81"/>
      <c r="AY656" s="81"/>
      <c r="AZ656" s="81"/>
      <c r="BA656" s="81"/>
      <c r="BB656" s="81"/>
    </row>
    <row r="657">
      <c r="A657" s="3"/>
      <c r="B657" s="3"/>
      <c r="C657" s="3"/>
      <c r="D657" s="3"/>
      <c r="E657" s="3"/>
      <c r="F657" s="3"/>
      <c r="G657" s="3"/>
      <c r="H657" s="3"/>
      <c r="I657" s="1"/>
      <c r="J657" s="1"/>
      <c r="K657" s="1"/>
      <c r="L657" s="3"/>
      <c r="M657" s="3"/>
      <c r="N657" s="70"/>
      <c r="O657" s="3"/>
      <c r="P657" s="3"/>
      <c r="Q657" s="25"/>
      <c r="R657" s="1"/>
      <c r="S657" s="1"/>
      <c r="T657" s="1"/>
      <c r="U657" s="1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81"/>
      <c r="AN657" s="81"/>
      <c r="AO657" s="81"/>
      <c r="AP657" s="81"/>
      <c r="AQ657" s="81"/>
      <c r="AR657" s="81"/>
      <c r="AS657" s="81"/>
      <c r="AT657" s="81"/>
      <c r="AU657" s="81"/>
      <c r="AV657" s="81"/>
      <c r="AW657" s="81"/>
      <c r="AX657" s="81"/>
      <c r="AY657" s="81"/>
      <c r="AZ657" s="81"/>
      <c r="BA657" s="81"/>
      <c r="BB657" s="81"/>
    </row>
    <row r="658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70"/>
      <c r="O658" s="3"/>
      <c r="P658" s="3"/>
      <c r="Q658" s="25"/>
      <c r="R658" s="3"/>
      <c r="S658" s="1"/>
      <c r="T658" s="1"/>
      <c r="U658" s="1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81"/>
      <c r="AN658" s="81"/>
      <c r="AO658" s="81"/>
      <c r="AP658" s="81"/>
      <c r="AQ658" s="81"/>
      <c r="AR658" s="81"/>
      <c r="AS658" s="81"/>
      <c r="AT658" s="81"/>
      <c r="AU658" s="81"/>
      <c r="AV658" s="81"/>
      <c r="AW658" s="81"/>
      <c r="AX658" s="81"/>
      <c r="AY658" s="81"/>
      <c r="AZ658" s="81"/>
      <c r="BA658" s="81"/>
      <c r="BB658" s="81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1"/>
      <c r="K659" s="3"/>
      <c r="L659" s="3"/>
      <c r="M659" s="3"/>
      <c r="N659" s="70"/>
      <c r="O659" s="3"/>
      <c r="P659" s="3"/>
      <c r="Q659" s="25"/>
      <c r="R659" s="3"/>
      <c r="S659" s="3"/>
      <c r="T659" s="3"/>
      <c r="U659" s="3"/>
      <c r="V659" s="3"/>
      <c r="W659" s="3"/>
      <c r="X659" s="3"/>
      <c r="Y659" s="1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81"/>
      <c r="AN659" s="81"/>
      <c r="AO659" s="81"/>
      <c r="AP659" s="81"/>
      <c r="AQ659" s="81"/>
      <c r="AR659" s="81"/>
      <c r="AS659" s="81"/>
      <c r="AT659" s="81"/>
      <c r="AU659" s="81"/>
      <c r="AV659" s="81"/>
      <c r="AW659" s="81"/>
      <c r="AX659" s="81"/>
      <c r="AY659" s="81"/>
      <c r="AZ659" s="81"/>
      <c r="BA659" s="81"/>
      <c r="BB659" s="81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1"/>
      <c r="K660" s="3"/>
      <c r="L660" s="3"/>
      <c r="M660" s="3"/>
      <c r="N660" s="70"/>
      <c r="O660" s="3"/>
      <c r="P660" s="3"/>
      <c r="Q660" s="25"/>
      <c r="R660" s="3"/>
      <c r="S660" s="3"/>
      <c r="T660" s="1"/>
      <c r="U660" s="1"/>
      <c r="V660" s="3"/>
      <c r="W660" s="1"/>
      <c r="X660" s="1"/>
      <c r="Y660" s="1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81"/>
      <c r="AN660" s="81"/>
      <c r="AO660" s="81"/>
      <c r="AP660" s="81"/>
      <c r="AQ660" s="81"/>
      <c r="AR660" s="81"/>
      <c r="AS660" s="81"/>
      <c r="AT660" s="81"/>
      <c r="AU660" s="81"/>
      <c r="AV660" s="81"/>
      <c r="AW660" s="81"/>
      <c r="AX660" s="81"/>
      <c r="AY660" s="81"/>
      <c r="AZ660" s="81"/>
      <c r="BA660" s="81"/>
      <c r="BB660" s="81"/>
    </row>
    <row r="661">
      <c r="A661" s="134"/>
      <c r="B661" s="3"/>
      <c r="C661" s="3"/>
      <c r="D661" s="3"/>
      <c r="E661" s="3"/>
      <c r="F661" s="3"/>
      <c r="G661" s="3"/>
      <c r="H661" s="3"/>
      <c r="I661" s="3"/>
      <c r="J661" s="1"/>
      <c r="K661" s="3"/>
      <c r="L661" s="3"/>
      <c r="M661" s="3"/>
      <c r="N661" s="70"/>
      <c r="O661" s="3"/>
      <c r="P661" s="3"/>
      <c r="Q661" s="25"/>
      <c r="R661" s="3"/>
      <c r="S661" s="1"/>
      <c r="T661" s="1"/>
      <c r="U661" s="1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81"/>
      <c r="AN661" s="81"/>
      <c r="AO661" s="81"/>
      <c r="AP661" s="81"/>
      <c r="AQ661" s="81"/>
      <c r="AR661" s="81"/>
      <c r="AS661" s="81"/>
      <c r="AT661" s="81"/>
      <c r="AU661" s="81"/>
      <c r="AV661" s="81"/>
      <c r="AW661" s="81"/>
      <c r="AX661" s="81"/>
      <c r="AY661" s="81"/>
      <c r="AZ661" s="81"/>
      <c r="BA661" s="81"/>
      <c r="BB661" s="81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1"/>
      <c r="K662" s="3"/>
      <c r="L662" s="3"/>
      <c r="M662" s="3"/>
      <c r="N662" s="70"/>
      <c r="O662" s="3"/>
      <c r="P662" s="3"/>
      <c r="Q662" s="25"/>
      <c r="R662" s="3"/>
      <c r="S662" s="1"/>
      <c r="T662" s="1"/>
      <c r="U662" s="1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81"/>
      <c r="AN662" s="81"/>
      <c r="AO662" s="81"/>
      <c r="AP662" s="81"/>
      <c r="AQ662" s="81"/>
      <c r="AR662" s="81"/>
      <c r="AS662" s="81"/>
      <c r="AT662" s="81"/>
      <c r="AU662" s="81"/>
      <c r="AV662" s="81"/>
      <c r="AW662" s="81"/>
      <c r="AX662" s="81"/>
      <c r="AY662" s="81"/>
      <c r="AZ662" s="81"/>
      <c r="BA662" s="81"/>
      <c r="BB662" s="81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70"/>
      <c r="O663" s="3"/>
      <c r="P663" s="3"/>
      <c r="Q663" s="25"/>
      <c r="R663" s="1"/>
      <c r="S663" s="1"/>
      <c r="T663" s="1"/>
      <c r="U663" s="1"/>
      <c r="V663" s="3"/>
      <c r="W663" s="1"/>
      <c r="X663" s="1"/>
      <c r="Y663" s="1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81"/>
      <c r="AN663" s="81"/>
      <c r="AO663" s="81"/>
      <c r="AP663" s="81"/>
      <c r="AQ663" s="81"/>
      <c r="AR663" s="81"/>
      <c r="AS663" s="81"/>
      <c r="AT663" s="81"/>
      <c r="AU663" s="81"/>
      <c r="AV663" s="81"/>
      <c r="AW663" s="81"/>
      <c r="AX663" s="81"/>
      <c r="AY663" s="81"/>
      <c r="AZ663" s="81"/>
      <c r="BA663" s="81"/>
      <c r="BB663" s="81"/>
    </row>
    <row r="664">
      <c r="A664" s="1"/>
      <c r="B664" s="3"/>
      <c r="C664" s="3"/>
      <c r="D664" s="3"/>
      <c r="E664" s="3"/>
      <c r="F664" s="3"/>
      <c r="G664" s="1"/>
      <c r="H664" s="3"/>
      <c r="I664" s="1"/>
      <c r="J664" s="1"/>
      <c r="K664" s="3"/>
      <c r="L664" s="3"/>
      <c r="M664" s="3"/>
      <c r="N664" s="70"/>
      <c r="O664" s="3"/>
      <c r="P664" s="3"/>
      <c r="Q664" s="25"/>
      <c r="R664" s="3"/>
      <c r="S664" s="1"/>
      <c r="T664" s="1"/>
      <c r="U664" s="1"/>
      <c r="V664" s="3"/>
      <c r="W664" s="3"/>
      <c r="X664" s="1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81"/>
      <c r="AN664" s="81"/>
      <c r="AO664" s="81"/>
      <c r="AP664" s="81"/>
      <c r="AQ664" s="81"/>
      <c r="AR664" s="81"/>
      <c r="AS664" s="81"/>
      <c r="AT664" s="81"/>
      <c r="AU664" s="81"/>
      <c r="AV664" s="81"/>
      <c r="AW664" s="81"/>
      <c r="AX664" s="81"/>
      <c r="AY664" s="81"/>
      <c r="AZ664" s="81"/>
      <c r="BA664" s="81"/>
      <c r="BB664" s="81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1"/>
      <c r="K665" s="3"/>
      <c r="L665" s="3"/>
      <c r="M665" s="3"/>
      <c r="N665" s="70"/>
      <c r="O665" s="3"/>
      <c r="P665" s="3"/>
      <c r="Q665" s="25"/>
      <c r="R665" s="3"/>
      <c r="S665" s="1"/>
      <c r="T665" s="1"/>
      <c r="U665" s="1"/>
      <c r="V665" s="3"/>
      <c r="W665" s="1"/>
      <c r="X665" s="1"/>
      <c r="Y665" s="1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81"/>
      <c r="AN665" s="81"/>
      <c r="AO665" s="81"/>
      <c r="AP665" s="81"/>
      <c r="AQ665" s="81"/>
      <c r="AR665" s="81"/>
      <c r="AS665" s="81"/>
      <c r="AT665" s="81"/>
      <c r="AU665" s="81"/>
      <c r="AV665" s="81"/>
      <c r="AW665" s="81"/>
      <c r="AX665" s="81"/>
      <c r="AY665" s="81"/>
      <c r="AZ665" s="81"/>
      <c r="BA665" s="81"/>
      <c r="BB665" s="81"/>
    </row>
    <row r="666">
      <c r="A666" s="134"/>
      <c r="B666" s="3"/>
      <c r="C666" s="3"/>
      <c r="D666" s="3"/>
      <c r="E666" s="3"/>
      <c r="F666" s="3"/>
      <c r="G666" s="1"/>
      <c r="H666" s="3"/>
      <c r="I666" s="3"/>
      <c r="J666" s="3"/>
      <c r="K666" s="3"/>
      <c r="L666" s="3"/>
      <c r="M666" s="1"/>
      <c r="N666" s="70"/>
      <c r="O666" s="3"/>
      <c r="P666" s="3"/>
      <c r="Q666" s="25"/>
      <c r="R666" s="3"/>
      <c r="S666" s="1"/>
      <c r="T666" s="1"/>
      <c r="U666" s="1"/>
      <c r="V666" s="3"/>
      <c r="W666" s="3"/>
      <c r="X666" s="1"/>
      <c r="Y666" s="1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81"/>
      <c r="AN666" s="81"/>
      <c r="AO666" s="81"/>
      <c r="AP666" s="81"/>
      <c r="AQ666" s="81"/>
      <c r="AR666" s="81"/>
      <c r="AS666" s="81"/>
      <c r="AT666" s="81"/>
      <c r="AU666" s="81"/>
      <c r="AV666" s="81"/>
      <c r="AW666" s="81"/>
      <c r="AX666" s="81"/>
      <c r="AY666" s="81"/>
      <c r="AZ666" s="81"/>
      <c r="BA666" s="81"/>
      <c r="BB666" s="81"/>
    </row>
    <row r="667">
      <c r="A667" s="3"/>
      <c r="B667" s="3"/>
      <c r="C667" s="3"/>
      <c r="D667" s="131"/>
      <c r="E667" s="3"/>
      <c r="F667" s="3"/>
      <c r="G667" s="3"/>
      <c r="H667" s="3"/>
      <c r="I667" s="3"/>
      <c r="J667" s="3"/>
      <c r="K667" s="3"/>
      <c r="L667" s="3"/>
      <c r="M667" s="3"/>
      <c r="N667" s="70"/>
      <c r="O667" s="3"/>
      <c r="P667" s="3"/>
      <c r="Q667" s="25"/>
      <c r="R667" s="3"/>
      <c r="S667" s="1"/>
      <c r="T667" s="1"/>
      <c r="U667" s="1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81"/>
      <c r="AN667" s="81"/>
      <c r="AO667" s="81"/>
      <c r="AP667" s="81"/>
      <c r="AQ667" s="81"/>
      <c r="AR667" s="81"/>
      <c r="AS667" s="81"/>
      <c r="AT667" s="81"/>
      <c r="AU667" s="81"/>
      <c r="AV667" s="81"/>
      <c r="AW667" s="81"/>
      <c r="AX667" s="81"/>
      <c r="AY667" s="81"/>
      <c r="AZ667" s="81"/>
      <c r="BA667" s="81"/>
      <c r="BB667" s="81"/>
    </row>
    <row r="668">
      <c r="A668" s="3"/>
      <c r="B668" s="3"/>
      <c r="C668" s="3"/>
      <c r="D668" s="150"/>
      <c r="E668" s="3"/>
      <c r="F668" s="3"/>
      <c r="G668" s="3"/>
      <c r="H668" s="3"/>
      <c r="I668" s="3"/>
      <c r="J668" s="3"/>
      <c r="K668" s="3"/>
      <c r="L668" s="3"/>
      <c r="M668" s="3"/>
      <c r="N668" s="70"/>
      <c r="O668" s="3"/>
      <c r="P668" s="3"/>
      <c r="Q668" s="25"/>
      <c r="R668" s="1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81"/>
      <c r="AN668" s="81"/>
      <c r="AO668" s="81"/>
      <c r="AP668" s="81"/>
      <c r="AQ668" s="81"/>
      <c r="AR668" s="81"/>
      <c r="AS668" s="81"/>
      <c r="AT668" s="81"/>
      <c r="AU668" s="81"/>
      <c r="AV668" s="81"/>
      <c r="AW668" s="81"/>
      <c r="AX668" s="81"/>
      <c r="AY668" s="81"/>
      <c r="AZ668" s="81"/>
      <c r="BA668" s="81"/>
      <c r="BB668" s="81"/>
    </row>
    <row r="669">
      <c r="A669" s="3"/>
      <c r="B669" s="3"/>
      <c r="C669" s="3"/>
      <c r="D669" s="153"/>
      <c r="E669" s="3"/>
      <c r="F669" s="3"/>
      <c r="G669" s="1"/>
      <c r="H669" s="3"/>
      <c r="I669" s="3"/>
      <c r="J669" s="3"/>
      <c r="K669" s="3"/>
      <c r="L669" s="3"/>
      <c r="M669" s="3"/>
      <c r="N669" s="70"/>
      <c r="O669" s="3"/>
      <c r="P669" s="3"/>
      <c r="Q669" s="25"/>
      <c r="R669" s="3"/>
      <c r="S669" s="1"/>
      <c r="T669" s="1"/>
      <c r="U669" s="1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81"/>
      <c r="AN669" s="81"/>
      <c r="AO669" s="81"/>
      <c r="AP669" s="81"/>
      <c r="AQ669" s="81"/>
      <c r="AR669" s="81"/>
      <c r="AS669" s="81"/>
      <c r="AT669" s="81"/>
      <c r="AU669" s="81"/>
      <c r="AV669" s="81"/>
      <c r="AW669" s="81"/>
      <c r="AX669" s="81"/>
      <c r="AY669" s="81"/>
      <c r="AZ669" s="81"/>
      <c r="BA669" s="81"/>
      <c r="BB669" s="81"/>
    </row>
    <row r="670">
      <c r="A670" s="3"/>
      <c r="B670" s="3"/>
      <c r="C670" s="3"/>
      <c r="D670" s="146"/>
      <c r="E670" s="3"/>
      <c r="F670" s="3"/>
      <c r="G670" s="1"/>
      <c r="H670" s="3"/>
      <c r="I670" s="3"/>
      <c r="J670" s="1"/>
      <c r="K670" s="3"/>
      <c r="L670" s="3"/>
      <c r="M670" s="3"/>
      <c r="N670" s="70"/>
      <c r="O670" s="3"/>
      <c r="P670" s="3"/>
      <c r="Q670" s="25"/>
      <c r="R670" s="3"/>
      <c r="S670" s="1"/>
      <c r="T670" s="1"/>
      <c r="U670" s="1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81"/>
      <c r="AN670" s="81"/>
      <c r="AO670" s="81"/>
      <c r="AP670" s="81"/>
      <c r="AQ670" s="81"/>
      <c r="AR670" s="81"/>
      <c r="AS670" s="81"/>
      <c r="AT670" s="81"/>
      <c r="AU670" s="81"/>
      <c r="AV670" s="81"/>
      <c r="AW670" s="81"/>
      <c r="AX670" s="81"/>
      <c r="AY670" s="81"/>
      <c r="AZ670" s="81"/>
      <c r="BA670" s="81"/>
      <c r="BB670" s="81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1"/>
      <c r="K671" s="3"/>
      <c r="L671" s="3"/>
      <c r="M671" s="3"/>
      <c r="N671" s="70"/>
      <c r="O671" s="3"/>
      <c r="P671" s="3"/>
      <c r="Q671" s="25"/>
      <c r="R671" s="3"/>
      <c r="S671" s="1"/>
      <c r="T671" s="1"/>
      <c r="U671" s="1"/>
      <c r="V671" s="1"/>
      <c r="W671" s="1"/>
      <c r="X671" s="1"/>
      <c r="Y671" s="1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81"/>
      <c r="AN671" s="81"/>
      <c r="AO671" s="81"/>
      <c r="AP671" s="81"/>
      <c r="AQ671" s="81"/>
      <c r="AR671" s="81"/>
      <c r="AS671" s="81"/>
      <c r="AT671" s="81"/>
      <c r="AU671" s="81"/>
      <c r="AV671" s="81"/>
      <c r="AW671" s="81"/>
      <c r="AX671" s="81"/>
      <c r="AY671" s="81"/>
      <c r="AZ671" s="81"/>
      <c r="BA671" s="81"/>
      <c r="BB671" s="81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1"/>
      <c r="K672" s="3"/>
      <c r="L672" s="3"/>
      <c r="M672" s="3"/>
      <c r="N672" s="70"/>
      <c r="O672" s="3"/>
      <c r="P672" s="3"/>
      <c r="Q672" s="25"/>
      <c r="R672" s="3"/>
      <c r="S672" s="1"/>
      <c r="T672" s="1"/>
      <c r="U672" s="1"/>
      <c r="V672" s="3"/>
      <c r="W672" s="3"/>
      <c r="X672" s="1"/>
      <c r="Y672" s="1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81"/>
      <c r="AN672" s="81"/>
      <c r="AO672" s="81"/>
      <c r="AP672" s="81"/>
      <c r="AQ672" s="81"/>
      <c r="AR672" s="81"/>
      <c r="AS672" s="81"/>
      <c r="AT672" s="81"/>
      <c r="AU672" s="81"/>
      <c r="AV672" s="81"/>
      <c r="AW672" s="81"/>
      <c r="AX672" s="81"/>
      <c r="AY672" s="81"/>
      <c r="AZ672" s="81"/>
      <c r="BA672" s="81"/>
      <c r="BB672" s="81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70"/>
      <c r="O673" s="3"/>
      <c r="P673" s="3"/>
      <c r="Q673" s="25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81"/>
      <c r="AN673" s="81"/>
      <c r="AO673" s="81"/>
      <c r="AP673" s="81"/>
      <c r="AQ673" s="81"/>
      <c r="AR673" s="81"/>
      <c r="AS673" s="81"/>
      <c r="AT673" s="81"/>
      <c r="AU673" s="81"/>
      <c r="AV673" s="81"/>
      <c r="AW673" s="81"/>
      <c r="AX673" s="81"/>
      <c r="AY673" s="81"/>
      <c r="AZ673" s="81"/>
      <c r="BA673" s="81"/>
      <c r="BB673" s="81"/>
    </row>
    <row r="674">
      <c r="A674" s="124"/>
      <c r="B674" s="3"/>
      <c r="C674" s="3"/>
      <c r="D674" s="3"/>
      <c r="E674" s="3"/>
      <c r="F674" s="3"/>
      <c r="G674" s="3"/>
      <c r="H674" s="3"/>
      <c r="I674" s="1"/>
      <c r="J674" s="3"/>
      <c r="K674" s="3"/>
      <c r="L674" s="3"/>
      <c r="M674" s="3"/>
      <c r="N674" s="105"/>
      <c r="O674" s="1"/>
      <c r="P674" s="3"/>
      <c r="Q674" s="25"/>
      <c r="R674" s="1"/>
      <c r="S674" s="1"/>
      <c r="T674" s="1"/>
      <c r="U674" s="1"/>
      <c r="V674" s="1"/>
      <c r="W674" s="1"/>
      <c r="X674" s="1"/>
      <c r="Y674" s="1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81"/>
      <c r="AN674" s="81"/>
      <c r="AO674" s="81"/>
      <c r="AP674" s="81"/>
      <c r="AQ674" s="81"/>
      <c r="AR674" s="81"/>
      <c r="AS674" s="81"/>
      <c r="AT674" s="81"/>
      <c r="AU674" s="81"/>
      <c r="AV674" s="81"/>
      <c r="AW674" s="81"/>
      <c r="AX674" s="81"/>
      <c r="AY674" s="81"/>
      <c r="AZ674" s="81"/>
      <c r="BA674" s="81"/>
      <c r="BB674" s="81"/>
    </row>
    <row r="675">
      <c r="A675" s="3"/>
      <c r="B675" s="3"/>
      <c r="C675" s="3"/>
      <c r="D675" s="3"/>
      <c r="E675" s="3"/>
      <c r="F675" s="1"/>
      <c r="G675" s="136"/>
      <c r="H675" s="3"/>
      <c r="I675" s="3"/>
      <c r="J675" s="3"/>
      <c r="K675" s="3"/>
      <c r="L675" s="3"/>
      <c r="M675" s="3"/>
      <c r="N675" s="70"/>
      <c r="O675" s="3"/>
      <c r="P675" s="3"/>
      <c r="Q675" s="25"/>
      <c r="R675" s="3"/>
      <c r="S675" s="1"/>
      <c r="T675" s="1"/>
      <c r="U675" s="1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81"/>
      <c r="AN675" s="81"/>
      <c r="AO675" s="81"/>
      <c r="AP675" s="81"/>
      <c r="AQ675" s="81"/>
      <c r="AR675" s="81"/>
      <c r="AS675" s="81"/>
      <c r="AT675" s="81"/>
      <c r="AU675" s="81"/>
      <c r="AV675" s="81"/>
      <c r="AW675" s="81"/>
      <c r="AX675" s="81"/>
      <c r="AY675" s="81"/>
      <c r="AZ675" s="81"/>
      <c r="BA675" s="81"/>
      <c r="BB675" s="81"/>
    </row>
    <row r="676">
      <c r="A676" s="3"/>
      <c r="B676" s="3"/>
      <c r="C676" s="3"/>
      <c r="D676" s="3"/>
      <c r="E676" s="3"/>
      <c r="F676" s="3"/>
      <c r="G676" s="136"/>
      <c r="H676" s="3"/>
      <c r="I676" s="3"/>
      <c r="J676" s="1"/>
      <c r="K676" s="3"/>
      <c r="L676" s="3"/>
      <c r="M676" s="3"/>
      <c r="N676" s="70"/>
      <c r="O676" s="3"/>
      <c r="P676" s="3"/>
      <c r="Q676" s="25"/>
      <c r="R676" s="3"/>
      <c r="S676" s="1"/>
      <c r="T676" s="1"/>
      <c r="U676" s="1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81"/>
      <c r="AN676" s="81"/>
      <c r="AO676" s="81"/>
      <c r="AP676" s="81"/>
      <c r="AQ676" s="81"/>
      <c r="AR676" s="81"/>
      <c r="AS676" s="81"/>
      <c r="AT676" s="81"/>
      <c r="AU676" s="81"/>
      <c r="AV676" s="81"/>
      <c r="AW676" s="81"/>
      <c r="AX676" s="81"/>
      <c r="AY676" s="81"/>
      <c r="AZ676" s="81"/>
      <c r="BA676" s="81"/>
      <c r="BB676" s="81"/>
    </row>
    <row r="677">
      <c r="A677" s="3"/>
      <c r="B677" s="3"/>
      <c r="C677" s="3"/>
      <c r="D677" s="3"/>
      <c r="E677" s="3"/>
      <c r="F677" s="3"/>
      <c r="G677" s="136"/>
      <c r="H677" s="3"/>
      <c r="I677" s="3"/>
      <c r="J677" s="3"/>
      <c r="K677" s="3"/>
      <c r="L677" s="3"/>
      <c r="M677" s="3"/>
      <c r="N677" s="70"/>
      <c r="O677" s="3"/>
      <c r="P677" s="3"/>
      <c r="Q677" s="25"/>
      <c r="R677" s="3"/>
      <c r="S677" s="1"/>
      <c r="T677" s="1"/>
      <c r="U677" s="1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81"/>
      <c r="AN677" s="81"/>
      <c r="AO677" s="81"/>
      <c r="AP677" s="81"/>
      <c r="AQ677" s="81"/>
      <c r="AR677" s="81"/>
      <c r="AS677" s="81"/>
      <c r="AT677" s="81"/>
      <c r="AU677" s="81"/>
      <c r="AV677" s="81"/>
      <c r="AW677" s="81"/>
      <c r="AX677" s="81"/>
      <c r="AY677" s="81"/>
      <c r="AZ677" s="81"/>
      <c r="BA677" s="81"/>
      <c r="BB677" s="81"/>
    </row>
    <row r="678">
      <c r="A678" s="3"/>
      <c r="B678" s="3"/>
      <c r="C678" s="3"/>
      <c r="D678" s="3"/>
      <c r="E678" s="3"/>
      <c r="F678" s="3"/>
      <c r="G678" s="136"/>
      <c r="H678" s="3"/>
      <c r="I678" s="3"/>
      <c r="J678" s="1"/>
      <c r="K678" s="3"/>
      <c r="L678" s="3"/>
      <c r="M678" s="3"/>
      <c r="N678" s="70"/>
      <c r="O678" s="3"/>
      <c r="P678" s="3"/>
      <c r="Q678" s="25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81"/>
      <c r="AN678" s="81"/>
      <c r="AO678" s="81"/>
      <c r="AP678" s="81"/>
      <c r="AQ678" s="81"/>
      <c r="AR678" s="81"/>
      <c r="AS678" s="81"/>
      <c r="AT678" s="81"/>
      <c r="AU678" s="81"/>
      <c r="AV678" s="81"/>
      <c r="AW678" s="81"/>
      <c r="AX678" s="81"/>
      <c r="AY678" s="81"/>
      <c r="AZ678" s="81"/>
      <c r="BA678" s="81"/>
      <c r="BB678" s="81"/>
    </row>
    <row r="679">
      <c r="A679" s="3"/>
      <c r="B679" s="3"/>
      <c r="C679" s="3"/>
      <c r="D679" s="1"/>
      <c r="E679" s="3"/>
      <c r="F679" s="3"/>
      <c r="G679" s="136"/>
      <c r="H679" s="3"/>
      <c r="I679" s="3"/>
      <c r="J679" s="3"/>
      <c r="K679" s="3"/>
      <c r="L679" s="3"/>
      <c r="M679" s="3"/>
      <c r="N679" s="70"/>
      <c r="O679" s="3"/>
      <c r="P679" s="3"/>
      <c r="Q679" s="25"/>
      <c r="R679" s="3"/>
      <c r="S679" s="1"/>
      <c r="T679" s="1"/>
      <c r="U679" s="1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81"/>
      <c r="AN679" s="81"/>
      <c r="AO679" s="81"/>
      <c r="AP679" s="81"/>
      <c r="AQ679" s="81"/>
      <c r="AR679" s="81"/>
      <c r="AS679" s="81"/>
      <c r="AT679" s="81"/>
      <c r="AU679" s="81"/>
      <c r="AV679" s="81"/>
      <c r="AW679" s="81"/>
      <c r="AX679" s="81"/>
      <c r="AY679" s="81"/>
      <c r="AZ679" s="81"/>
      <c r="BA679" s="81"/>
      <c r="BB679" s="81"/>
    </row>
    <row r="680">
      <c r="A680" s="3"/>
      <c r="B680" s="3"/>
      <c r="C680" s="3"/>
      <c r="D680" s="113"/>
      <c r="E680" s="3"/>
      <c r="F680" s="3"/>
      <c r="G680" s="136"/>
      <c r="H680" s="3"/>
      <c r="I680" s="3"/>
      <c r="J680" s="1"/>
      <c r="K680" s="3"/>
      <c r="L680" s="3"/>
      <c r="M680" s="3"/>
      <c r="N680" s="105"/>
      <c r="O680" s="3"/>
      <c r="P680" s="3"/>
      <c r="Q680" s="25"/>
      <c r="R680" s="3"/>
      <c r="S680" s="1"/>
      <c r="T680" s="1"/>
      <c r="U680" s="1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81"/>
      <c r="AN680" s="81"/>
      <c r="AO680" s="81"/>
      <c r="AP680" s="81"/>
      <c r="AQ680" s="81"/>
      <c r="AR680" s="81"/>
      <c r="AS680" s="81"/>
      <c r="AT680" s="81"/>
      <c r="AU680" s="81"/>
      <c r="AV680" s="81"/>
      <c r="AW680" s="81"/>
      <c r="AX680" s="81"/>
      <c r="AY680" s="81"/>
      <c r="AZ680" s="81"/>
      <c r="BA680" s="81"/>
      <c r="BB680" s="81"/>
    </row>
    <row r="681">
      <c r="A681" s="3"/>
      <c r="B681" s="3"/>
      <c r="C681" s="3"/>
      <c r="D681" s="3"/>
      <c r="E681" s="3"/>
      <c r="F681" s="3"/>
      <c r="G681" s="136"/>
      <c r="H681" s="3"/>
      <c r="I681" s="3"/>
      <c r="J681" s="3"/>
      <c r="K681" s="3"/>
      <c r="L681" s="3"/>
      <c r="M681" s="3"/>
      <c r="N681" s="70"/>
      <c r="O681" s="3"/>
      <c r="P681" s="3"/>
      <c r="Q681" s="25"/>
      <c r="R681" s="3"/>
      <c r="S681" s="3"/>
      <c r="T681" s="1"/>
      <c r="U681" s="1"/>
      <c r="V681" s="3"/>
      <c r="W681" s="3"/>
      <c r="X681" s="1"/>
      <c r="Y681" s="1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81"/>
      <c r="AN681" s="81"/>
      <c r="AO681" s="81"/>
      <c r="AP681" s="81"/>
      <c r="AQ681" s="81"/>
      <c r="AR681" s="81"/>
      <c r="AS681" s="81"/>
      <c r="AT681" s="81"/>
      <c r="AU681" s="81"/>
      <c r="AV681" s="81"/>
      <c r="AW681" s="81"/>
      <c r="AX681" s="81"/>
      <c r="AY681" s="81"/>
      <c r="AZ681" s="81"/>
      <c r="BA681" s="81"/>
      <c r="BB681" s="81"/>
    </row>
    <row r="682">
      <c r="A682" s="3"/>
      <c r="B682" s="3"/>
      <c r="C682" s="3"/>
      <c r="D682" s="3"/>
      <c r="E682" s="3"/>
      <c r="F682" s="3"/>
      <c r="G682" s="136"/>
      <c r="H682" s="3"/>
      <c r="I682" s="3"/>
      <c r="J682" s="1"/>
      <c r="K682" s="3"/>
      <c r="L682" s="3"/>
      <c r="M682" s="1"/>
      <c r="N682" s="70"/>
      <c r="O682" s="3"/>
      <c r="P682" s="3"/>
      <c r="Q682" s="142"/>
      <c r="R682" s="3"/>
      <c r="S682" s="1"/>
      <c r="T682" s="1"/>
      <c r="U682" s="1"/>
      <c r="V682" s="3"/>
      <c r="W682" s="3"/>
      <c r="X682" s="1"/>
      <c r="Y682" s="1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81"/>
      <c r="AN682" s="81"/>
      <c r="AO682" s="81"/>
      <c r="AP682" s="81"/>
      <c r="AQ682" s="81"/>
      <c r="AR682" s="81"/>
      <c r="AS682" s="81"/>
      <c r="AT682" s="81"/>
      <c r="AU682" s="81"/>
      <c r="AV682" s="81"/>
      <c r="AW682" s="81"/>
      <c r="AX682" s="81"/>
      <c r="AY682" s="81"/>
      <c r="AZ682" s="81"/>
      <c r="BA682" s="81"/>
      <c r="BB682" s="81"/>
    </row>
    <row r="683">
      <c r="A683" s="3"/>
      <c r="B683" s="3"/>
      <c r="C683" s="3"/>
      <c r="D683" s="3"/>
      <c r="E683" s="3"/>
      <c r="F683" s="3"/>
      <c r="G683" s="136"/>
      <c r="H683" s="3"/>
      <c r="I683" s="3"/>
      <c r="J683" s="1"/>
      <c r="K683" s="3"/>
      <c r="L683" s="3"/>
      <c r="M683" s="3"/>
      <c r="N683" s="70"/>
      <c r="O683" s="3"/>
      <c r="P683" s="3"/>
      <c r="Q683" s="25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81"/>
      <c r="AN683" s="81"/>
      <c r="AO683" s="81"/>
      <c r="AP683" s="81"/>
      <c r="AQ683" s="81"/>
      <c r="AR683" s="81"/>
      <c r="AS683" s="81"/>
      <c r="AT683" s="81"/>
      <c r="AU683" s="81"/>
      <c r="AV683" s="81"/>
      <c r="AW683" s="81"/>
      <c r="AX683" s="81"/>
      <c r="AY683" s="81"/>
      <c r="AZ683" s="81"/>
      <c r="BA683" s="81"/>
      <c r="BB683" s="81"/>
    </row>
    <row r="684">
      <c r="A684" s="3"/>
      <c r="B684" s="3"/>
      <c r="C684" s="3"/>
      <c r="D684" s="3"/>
      <c r="E684" s="115"/>
      <c r="F684" s="3"/>
      <c r="G684" s="136"/>
      <c r="H684" s="3"/>
      <c r="I684" s="3"/>
      <c r="J684" s="3"/>
      <c r="K684" s="3"/>
      <c r="L684" s="3"/>
      <c r="M684" s="3"/>
      <c r="N684" s="70"/>
      <c r="O684" s="3"/>
      <c r="P684" s="3"/>
      <c r="Q684" s="142"/>
      <c r="R684" s="3"/>
      <c r="S684" s="1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81"/>
      <c r="AN684" s="81"/>
      <c r="AO684" s="81"/>
      <c r="AP684" s="81"/>
      <c r="AQ684" s="81"/>
      <c r="AR684" s="81"/>
      <c r="AS684" s="81"/>
      <c r="AT684" s="81"/>
      <c r="AU684" s="81"/>
      <c r="AV684" s="81"/>
      <c r="AW684" s="81"/>
      <c r="AX684" s="81"/>
      <c r="AY684" s="81"/>
      <c r="AZ684" s="81"/>
      <c r="BA684" s="81"/>
      <c r="BB684" s="81"/>
    </row>
    <row r="685">
      <c r="A685" s="3"/>
      <c r="B685" s="3"/>
      <c r="C685" s="3"/>
      <c r="D685" s="3"/>
      <c r="E685" s="3"/>
      <c r="F685" s="3"/>
      <c r="G685" s="136"/>
      <c r="H685" s="3"/>
      <c r="I685" s="3"/>
      <c r="J685" s="1"/>
      <c r="K685" s="3"/>
      <c r="L685" s="3"/>
      <c r="M685" s="3"/>
      <c r="N685" s="70"/>
      <c r="O685" s="3"/>
      <c r="P685" s="3"/>
      <c r="Q685" s="142"/>
      <c r="R685" s="3"/>
      <c r="S685" s="1"/>
      <c r="T685" s="1"/>
      <c r="U685" s="1"/>
      <c r="V685" s="3"/>
      <c r="W685" s="3"/>
      <c r="X685" s="1"/>
      <c r="Y685" s="1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81"/>
      <c r="AN685" s="81"/>
      <c r="AO685" s="81"/>
      <c r="AP685" s="81"/>
      <c r="AQ685" s="81"/>
      <c r="AR685" s="81"/>
      <c r="AS685" s="81"/>
      <c r="AT685" s="81"/>
      <c r="AU685" s="81"/>
      <c r="AV685" s="81"/>
      <c r="AW685" s="81"/>
      <c r="AX685" s="81"/>
      <c r="AY685" s="81"/>
      <c r="AZ685" s="81"/>
      <c r="BA685" s="81"/>
      <c r="BB685" s="81"/>
    </row>
    <row r="686">
      <c r="A686" s="1"/>
      <c r="B686" s="3"/>
      <c r="C686" s="3"/>
      <c r="D686" s="3"/>
      <c r="E686" s="3"/>
      <c r="F686" s="3"/>
      <c r="G686" s="136"/>
      <c r="H686" s="3"/>
      <c r="I686" s="1"/>
      <c r="J686" s="1"/>
      <c r="K686" s="3"/>
      <c r="L686" s="3"/>
      <c r="M686" s="3"/>
      <c r="N686" s="70"/>
      <c r="O686" s="3"/>
      <c r="P686" s="3"/>
      <c r="Q686" s="25"/>
      <c r="R686" s="1"/>
      <c r="S686" s="1"/>
      <c r="T686" s="1"/>
      <c r="U686" s="1"/>
      <c r="V686" s="1"/>
      <c r="W686" s="1"/>
      <c r="X686" s="1"/>
      <c r="Y686" s="1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81"/>
      <c r="AN686" s="81"/>
      <c r="AO686" s="81"/>
      <c r="AP686" s="81"/>
      <c r="AQ686" s="81"/>
      <c r="AR686" s="81"/>
      <c r="AS686" s="81"/>
      <c r="AT686" s="81"/>
      <c r="AU686" s="81"/>
      <c r="AV686" s="81"/>
      <c r="AW686" s="81"/>
      <c r="AX686" s="81"/>
      <c r="AY686" s="81"/>
      <c r="AZ686" s="81"/>
      <c r="BA686" s="81"/>
      <c r="BB686" s="81"/>
    </row>
    <row r="687">
      <c r="A687" s="1"/>
      <c r="B687" s="3"/>
      <c r="C687" s="3"/>
      <c r="D687" s="3"/>
      <c r="E687" s="3"/>
      <c r="F687" s="3"/>
      <c r="G687" s="136"/>
      <c r="H687" s="3"/>
      <c r="I687" s="1"/>
      <c r="J687" s="1"/>
      <c r="K687" s="3"/>
      <c r="L687" s="3"/>
      <c r="M687" s="3"/>
      <c r="N687" s="70"/>
      <c r="O687" s="3"/>
      <c r="P687" s="3"/>
      <c r="Q687" s="25"/>
      <c r="R687" s="1"/>
      <c r="S687" s="1"/>
      <c r="T687" s="1"/>
      <c r="U687" s="1"/>
      <c r="V687" s="1"/>
      <c r="W687" s="1"/>
      <c r="X687" s="1"/>
      <c r="Y687" s="1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81"/>
      <c r="AN687" s="81"/>
      <c r="AO687" s="81"/>
      <c r="AP687" s="81"/>
      <c r="AQ687" s="81"/>
      <c r="AR687" s="81"/>
      <c r="AS687" s="81"/>
      <c r="AT687" s="81"/>
      <c r="AU687" s="81"/>
      <c r="AV687" s="81"/>
      <c r="AW687" s="81"/>
      <c r="AX687" s="81"/>
      <c r="AY687" s="81"/>
      <c r="AZ687" s="81"/>
      <c r="BA687" s="81"/>
      <c r="BB687" s="81"/>
    </row>
    <row r="688">
      <c r="A688" s="3"/>
      <c r="B688" s="3"/>
      <c r="C688" s="3"/>
      <c r="D688" s="3"/>
      <c r="E688" s="3"/>
      <c r="F688" s="3"/>
      <c r="G688" s="136"/>
      <c r="H688" s="3"/>
      <c r="I688" s="1"/>
      <c r="J688" s="3"/>
      <c r="K688" s="3"/>
      <c r="L688" s="3"/>
      <c r="M688" s="3"/>
      <c r="N688" s="70"/>
      <c r="O688" s="3"/>
      <c r="P688" s="3"/>
      <c r="Q688" s="25"/>
      <c r="R688" s="3"/>
      <c r="S688" s="1"/>
      <c r="T688" s="1"/>
      <c r="U688" s="1"/>
      <c r="V688" s="1"/>
      <c r="W688" s="3"/>
      <c r="X688" s="1"/>
      <c r="Y688" s="1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81"/>
      <c r="AN688" s="81"/>
      <c r="AO688" s="81"/>
      <c r="AP688" s="81"/>
      <c r="AQ688" s="81"/>
      <c r="AR688" s="81"/>
      <c r="AS688" s="81"/>
      <c r="AT688" s="81"/>
      <c r="AU688" s="81"/>
      <c r="AV688" s="81"/>
      <c r="AW688" s="81"/>
      <c r="AX688" s="81"/>
      <c r="AY688" s="81"/>
      <c r="AZ688" s="81"/>
      <c r="BA688" s="81"/>
      <c r="BB688" s="81"/>
    </row>
    <row r="689">
      <c r="A689" s="3"/>
      <c r="B689" s="3"/>
      <c r="C689" s="3"/>
      <c r="D689" s="141"/>
      <c r="E689" s="3"/>
      <c r="F689" s="3"/>
      <c r="G689" s="136"/>
      <c r="H689" s="3"/>
      <c r="I689" s="3"/>
      <c r="J689" s="3"/>
      <c r="K689" s="3"/>
      <c r="L689" s="3"/>
      <c r="M689" s="3"/>
      <c r="N689" s="105"/>
      <c r="O689" s="3"/>
      <c r="P689" s="3"/>
      <c r="Q689" s="142"/>
      <c r="R689" s="1"/>
      <c r="S689" s="1"/>
      <c r="T689" s="1"/>
      <c r="U689" s="1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81"/>
      <c r="AN689" s="81"/>
      <c r="AO689" s="81"/>
      <c r="AP689" s="81"/>
      <c r="AQ689" s="81"/>
      <c r="AR689" s="81"/>
      <c r="AS689" s="81"/>
      <c r="AT689" s="81"/>
      <c r="AU689" s="81"/>
      <c r="AV689" s="81"/>
      <c r="AW689" s="81"/>
      <c r="AX689" s="81"/>
      <c r="AY689" s="81"/>
      <c r="AZ689" s="81"/>
      <c r="BA689" s="81"/>
      <c r="BB689" s="81"/>
    </row>
    <row r="690">
      <c r="A690" s="3"/>
      <c r="B690" s="3"/>
      <c r="C690" s="3"/>
      <c r="D690" s="1"/>
      <c r="E690" s="3"/>
      <c r="F690" s="3"/>
      <c r="G690" s="136"/>
      <c r="H690" s="3"/>
      <c r="I690" s="3"/>
      <c r="J690" s="1"/>
      <c r="K690" s="3"/>
      <c r="L690" s="3"/>
      <c r="M690" s="1"/>
      <c r="N690" s="70"/>
      <c r="O690" s="3"/>
      <c r="P690" s="3"/>
      <c r="Q690" s="25"/>
      <c r="R690" s="3"/>
      <c r="S690" s="1"/>
      <c r="T690" s="1"/>
      <c r="U690" s="1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81"/>
      <c r="AN690" s="81"/>
      <c r="AO690" s="81"/>
      <c r="AP690" s="81"/>
      <c r="AQ690" s="81"/>
      <c r="AR690" s="81"/>
      <c r="AS690" s="81"/>
      <c r="AT690" s="81"/>
      <c r="AU690" s="81"/>
      <c r="AV690" s="81"/>
      <c r="AW690" s="81"/>
      <c r="AX690" s="81"/>
      <c r="AY690" s="81"/>
      <c r="AZ690" s="81"/>
      <c r="BA690" s="81"/>
      <c r="BB690" s="81"/>
    </row>
    <row r="691">
      <c r="A691" s="3"/>
      <c r="B691" s="3"/>
      <c r="C691" s="3"/>
      <c r="D691" s="1"/>
      <c r="E691" s="3"/>
      <c r="F691" s="3"/>
      <c r="G691" s="136"/>
      <c r="H691" s="3"/>
      <c r="I691" s="3"/>
      <c r="J691" s="1"/>
      <c r="K691" s="3"/>
      <c r="L691" s="3"/>
      <c r="M691" s="3"/>
      <c r="N691" s="70"/>
      <c r="O691" s="3"/>
      <c r="P691" s="3"/>
      <c r="Q691" s="25"/>
      <c r="R691" s="3"/>
      <c r="S691" s="3"/>
      <c r="T691" s="1"/>
      <c r="U691" s="3"/>
      <c r="V691" s="3"/>
      <c r="W691" s="3"/>
      <c r="X691" s="1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81"/>
      <c r="AN691" s="81"/>
      <c r="AO691" s="81"/>
      <c r="AP691" s="81"/>
      <c r="AQ691" s="81"/>
      <c r="AR691" s="81"/>
      <c r="AS691" s="81"/>
      <c r="AT691" s="81"/>
      <c r="AU691" s="81"/>
      <c r="AV691" s="81"/>
      <c r="AW691" s="81"/>
      <c r="AX691" s="81"/>
      <c r="AY691" s="81"/>
      <c r="AZ691" s="81"/>
      <c r="BA691" s="81"/>
      <c r="BB691" s="81"/>
    </row>
    <row r="692">
      <c r="A692" s="3"/>
      <c r="B692" s="3"/>
      <c r="C692" s="3"/>
      <c r="D692" s="143"/>
      <c r="E692" s="3"/>
      <c r="F692" s="3"/>
      <c r="G692" s="136"/>
      <c r="H692" s="3"/>
      <c r="I692" s="3"/>
      <c r="J692" s="1"/>
      <c r="K692" s="3"/>
      <c r="L692" s="3"/>
      <c r="M692" s="3"/>
      <c r="N692" s="70"/>
      <c r="O692" s="3"/>
      <c r="P692" s="3"/>
      <c r="Q692" s="25"/>
      <c r="R692" s="3"/>
      <c r="S692" s="1"/>
      <c r="T692" s="1"/>
      <c r="U692" s="1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81"/>
      <c r="AN692" s="81"/>
      <c r="AO692" s="81"/>
      <c r="AP692" s="81"/>
      <c r="AQ692" s="81"/>
      <c r="AR692" s="81"/>
      <c r="AS692" s="81"/>
      <c r="AT692" s="81"/>
      <c r="AU692" s="81"/>
      <c r="AV692" s="81"/>
      <c r="AW692" s="81"/>
      <c r="AX692" s="81"/>
      <c r="AY692" s="81"/>
      <c r="AZ692" s="81"/>
      <c r="BA692" s="81"/>
      <c r="BB692" s="81"/>
    </row>
    <row r="693">
      <c r="A693" s="3"/>
      <c r="B693" s="3"/>
      <c r="C693" s="3"/>
      <c r="D693" s="3"/>
      <c r="E693" s="3"/>
      <c r="F693" s="3"/>
      <c r="G693" s="136"/>
      <c r="H693" s="3"/>
      <c r="I693" s="3"/>
      <c r="J693" s="1"/>
      <c r="K693" s="3"/>
      <c r="L693" s="3"/>
      <c r="M693" s="3"/>
      <c r="N693" s="70"/>
      <c r="O693" s="3"/>
      <c r="P693" s="3"/>
      <c r="Q693" s="25"/>
      <c r="R693" s="3"/>
      <c r="S693" s="1"/>
      <c r="T693" s="1"/>
      <c r="U693" s="1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81"/>
      <c r="AN693" s="81"/>
      <c r="AO693" s="81"/>
      <c r="AP693" s="81"/>
      <c r="AQ693" s="81"/>
      <c r="AR693" s="81"/>
      <c r="AS693" s="81"/>
      <c r="AT693" s="81"/>
      <c r="AU693" s="81"/>
      <c r="AV693" s="81"/>
      <c r="AW693" s="81"/>
      <c r="AX693" s="81"/>
      <c r="AY693" s="81"/>
      <c r="AZ693" s="81"/>
      <c r="BA693" s="81"/>
      <c r="BB693" s="81"/>
    </row>
    <row r="694">
      <c r="A694" s="3"/>
      <c r="B694" s="3"/>
      <c r="C694" s="3"/>
      <c r="D694" s="149"/>
      <c r="E694" s="3"/>
      <c r="F694" s="3"/>
      <c r="G694" s="136"/>
      <c r="H694" s="3"/>
      <c r="I694" s="3"/>
      <c r="J694" s="1"/>
      <c r="K694" s="3"/>
      <c r="L694" s="3"/>
      <c r="M694" s="3"/>
      <c r="N694" s="70"/>
      <c r="O694" s="3"/>
      <c r="P694" s="3"/>
      <c r="Q694" s="25"/>
      <c r="R694" s="1"/>
      <c r="S694" s="1"/>
      <c r="T694" s="1"/>
      <c r="U694" s="1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81"/>
      <c r="AN694" s="81"/>
      <c r="AO694" s="81"/>
      <c r="AP694" s="81"/>
      <c r="AQ694" s="81"/>
      <c r="AR694" s="81"/>
      <c r="AS694" s="81"/>
      <c r="AT694" s="81"/>
      <c r="AU694" s="81"/>
      <c r="AV694" s="81"/>
      <c r="AW694" s="81"/>
      <c r="AX694" s="81"/>
      <c r="AY694" s="81"/>
      <c r="AZ694" s="81"/>
      <c r="BA694" s="81"/>
      <c r="BB694" s="81"/>
    </row>
    <row r="695">
      <c r="A695" s="3"/>
      <c r="B695" s="3"/>
      <c r="C695" s="3"/>
      <c r="D695" s="3"/>
      <c r="E695" s="3"/>
      <c r="F695" s="3"/>
      <c r="G695" s="136"/>
      <c r="H695" s="3"/>
      <c r="I695" s="3"/>
      <c r="J695" s="3"/>
      <c r="K695" s="3"/>
      <c r="L695" s="3"/>
      <c r="M695" s="3"/>
      <c r="N695" s="70"/>
      <c r="O695" s="1"/>
      <c r="P695" s="3"/>
      <c r="Q695" s="25"/>
      <c r="R695" s="1"/>
      <c r="S695" s="1"/>
      <c r="T695" s="1"/>
      <c r="U695" s="1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81"/>
      <c r="AN695" s="81"/>
      <c r="AO695" s="81"/>
      <c r="AP695" s="81"/>
      <c r="AQ695" s="81"/>
      <c r="AR695" s="81"/>
      <c r="AS695" s="81"/>
      <c r="AT695" s="81"/>
      <c r="AU695" s="81"/>
      <c r="AV695" s="81"/>
      <c r="AW695" s="81"/>
      <c r="AX695" s="81"/>
      <c r="AY695" s="81"/>
      <c r="AZ695" s="81"/>
      <c r="BA695" s="81"/>
      <c r="BB695" s="81"/>
    </row>
    <row r="696">
      <c r="A696" s="3"/>
      <c r="B696" s="3"/>
      <c r="C696" s="3"/>
      <c r="D696" s="3"/>
      <c r="E696" s="3"/>
      <c r="F696" s="3"/>
      <c r="G696" s="136"/>
      <c r="H696" s="3"/>
      <c r="I696" s="3"/>
      <c r="J696" s="3"/>
      <c r="K696" s="3"/>
      <c r="L696" s="3"/>
      <c r="M696" s="3"/>
      <c r="N696" s="70"/>
      <c r="O696" s="3"/>
      <c r="P696" s="3"/>
      <c r="Q696" s="25"/>
      <c r="R696" s="3"/>
      <c r="S696" s="1"/>
      <c r="T696" s="1"/>
      <c r="U696" s="1"/>
      <c r="V696" s="3"/>
      <c r="W696" s="3"/>
      <c r="X696" s="1"/>
      <c r="Y696" s="1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81"/>
      <c r="AN696" s="81"/>
      <c r="AO696" s="81"/>
      <c r="AP696" s="81"/>
      <c r="AQ696" s="81"/>
      <c r="AR696" s="81"/>
      <c r="AS696" s="81"/>
      <c r="AT696" s="81"/>
      <c r="AU696" s="81"/>
      <c r="AV696" s="81"/>
      <c r="AW696" s="81"/>
      <c r="AX696" s="81"/>
      <c r="AY696" s="81"/>
      <c r="AZ696" s="81"/>
      <c r="BA696" s="81"/>
      <c r="BB696" s="81"/>
    </row>
    <row r="697">
      <c r="A697" s="3"/>
      <c r="B697" s="3"/>
      <c r="C697" s="3"/>
      <c r="D697" s="126"/>
      <c r="E697" s="3"/>
      <c r="F697" s="3"/>
      <c r="G697" s="136"/>
      <c r="H697" s="3"/>
      <c r="I697" s="3"/>
      <c r="J697" s="1"/>
      <c r="K697" s="3"/>
      <c r="L697" s="3"/>
      <c r="M697" s="3"/>
      <c r="N697" s="70"/>
      <c r="O697" s="3"/>
      <c r="P697" s="3"/>
      <c r="Q697" s="25"/>
      <c r="R697" s="3"/>
      <c r="S697" s="1"/>
      <c r="T697" s="1"/>
      <c r="U697" s="1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81"/>
      <c r="AN697" s="81"/>
      <c r="AO697" s="81"/>
      <c r="AP697" s="81"/>
      <c r="AQ697" s="81"/>
      <c r="AR697" s="81"/>
      <c r="AS697" s="81"/>
      <c r="AT697" s="81"/>
      <c r="AU697" s="81"/>
      <c r="AV697" s="81"/>
      <c r="AW697" s="81"/>
      <c r="AX697" s="81"/>
      <c r="AY697" s="81"/>
      <c r="AZ697" s="81"/>
      <c r="BA697" s="81"/>
      <c r="BB697" s="81"/>
    </row>
    <row r="698">
      <c r="A698" s="1"/>
      <c r="B698" s="3"/>
      <c r="C698" s="3"/>
      <c r="D698" s="1"/>
      <c r="E698" s="3"/>
      <c r="F698" s="3"/>
      <c r="G698" s="136"/>
      <c r="H698" s="3"/>
      <c r="I698" s="3"/>
      <c r="J698" s="1"/>
      <c r="K698" s="3"/>
      <c r="L698" s="3"/>
      <c r="M698" s="3"/>
      <c r="N698" s="70"/>
      <c r="O698" s="3"/>
      <c r="P698" s="3"/>
      <c r="Q698" s="25"/>
      <c r="R698" s="1"/>
      <c r="S698" s="1"/>
      <c r="T698" s="1"/>
      <c r="U698" s="1"/>
      <c r="V698" s="3"/>
      <c r="W698" s="1"/>
      <c r="X698" s="1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81"/>
      <c r="AN698" s="81"/>
      <c r="AO698" s="81"/>
      <c r="AP698" s="81"/>
      <c r="AQ698" s="81"/>
      <c r="AR698" s="81"/>
      <c r="AS698" s="81"/>
      <c r="AT698" s="81"/>
      <c r="AU698" s="81"/>
      <c r="AV698" s="81"/>
      <c r="AW698" s="81"/>
      <c r="AX698" s="81"/>
      <c r="AY698" s="81"/>
      <c r="AZ698" s="81"/>
      <c r="BA698" s="81"/>
      <c r="BB698" s="81"/>
    </row>
    <row r="699">
      <c r="A699" s="3"/>
      <c r="B699" s="3"/>
      <c r="C699" s="3"/>
      <c r="D699" s="144"/>
      <c r="E699" s="3"/>
      <c r="F699" s="3"/>
      <c r="G699" s="136"/>
      <c r="H699" s="3"/>
      <c r="I699" s="3"/>
      <c r="J699" s="1"/>
      <c r="K699" s="3"/>
      <c r="L699" s="3"/>
      <c r="M699" s="3"/>
      <c r="N699" s="70"/>
      <c r="O699" s="3"/>
      <c r="P699" s="3"/>
      <c r="Q699" s="25"/>
      <c r="R699" s="3"/>
      <c r="S699" s="1"/>
      <c r="T699" s="1"/>
      <c r="U699" s="1"/>
      <c r="V699" s="3"/>
      <c r="W699" s="3"/>
      <c r="X699" s="1"/>
      <c r="Y699" s="1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81"/>
      <c r="AN699" s="81"/>
      <c r="AO699" s="81"/>
      <c r="AP699" s="81"/>
      <c r="AQ699" s="81"/>
      <c r="AR699" s="81"/>
      <c r="AS699" s="81"/>
      <c r="AT699" s="81"/>
      <c r="AU699" s="81"/>
      <c r="AV699" s="81"/>
      <c r="AW699" s="81"/>
      <c r="AX699" s="81"/>
      <c r="AY699" s="81"/>
      <c r="AZ699" s="81"/>
      <c r="BA699" s="81"/>
      <c r="BB699" s="81"/>
    </row>
    <row r="700">
      <c r="A700" s="3"/>
      <c r="B700" s="3"/>
      <c r="C700" s="3"/>
      <c r="D700" s="154"/>
      <c r="E700" s="3"/>
      <c r="F700" s="3"/>
      <c r="G700" s="136"/>
      <c r="H700" s="3"/>
      <c r="I700" s="3"/>
      <c r="J700" s="3"/>
      <c r="K700" s="3"/>
      <c r="L700" s="3"/>
      <c r="M700" s="3"/>
      <c r="N700" s="70"/>
      <c r="O700" s="1"/>
      <c r="P700" s="3"/>
      <c r="Q700" s="25"/>
      <c r="R700" s="1"/>
      <c r="S700" s="1"/>
      <c r="T700" s="1"/>
      <c r="U700" s="1"/>
      <c r="V700" s="3"/>
      <c r="W700" s="1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81"/>
      <c r="AN700" s="81"/>
      <c r="AO700" s="81"/>
      <c r="AP700" s="81"/>
      <c r="AQ700" s="81"/>
      <c r="AR700" s="81"/>
      <c r="AS700" s="81"/>
      <c r="AT700" s="81"/>
      <c r="AU700" s="81"/>
      <c r="AV700" s="81"/>
      <c r="AW700" s="81"/>
      <c r="AX700" s="81"/>
      <c r="AY700" s="81"/>
      <c r="AZ700" s="81"/>
      <c r="BA700" s="81"/>
      <c r="BB700" s="81"/>
    </row>
    <row r="701">
      <c r="A701" s="3"/>
      <c r="B701" s="3"/>
      <c r="C701" s="3"/>
      <c r="D701" s="130"/>
      <c r="E701" s="3"/>
      <c r="F701" s="3"/>
      <c r="G701" s="136"/>
      <c r="H701" s="3"/>
      <c r="I701" s="3"/>
      <c r="J701" s="1"/>
      <c r="K701" s="3"/>
      <c r="L701" s="3"/>
      <c r="M701" s="3"/>
      <c r="N701" s="70"/>
      <c r="O701" s="3"/>
      <c r="P701" s="3"/>
      <c r="Q701" s="25"/>
      <c r="R701" s="3"/>
      <c r="S701" s="1"/>
      <c r="T701" s="1"/>
      <c r="U701" s="1"/>
      <c r="V701" s="1"/>
      <c r="W701" s="1"/>
      <c r="X701" s="1"/>
      <c r="Y701" s="1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81"/>
      <c r="AN701" s="81"/>
      <c r="AO701" s="81"/>
      <c r="AP701" s="81"/>
      <c r="AQ701" s="81"/>
      <c r="AR701" s="81"/>
      <c r="AS701" s="81"/>
      <c r="AT701" s="81"/>
      <c r="AU701" s="81"/>
      <c r="AV701" s="81"/>
      <c r="AW701" s="81"/>
      <c r="AX701" s="81"/>
      <c r="AY701" s="81"/>
      <c r="AZ701" s="81"/>
      <c r="BA701" s="81"/>
      <c r="BB701" s="81"/>
    </row>
    <row r="702">
      <c r="A702" s="3"/>
      <c r="B702" s="3"/>
      <c r="C702" s="3"/>
      <c r="D702" s="141"/>
      <c r="E702" s="3"/>
      <c r="F702" s="3"/>
      <c r="G702" s="136"/>
      <c r="H702" s="3"/>
      <c r="I702" s="3"/>
      <c r="J702" s="3"/>
      <c r="K702" s="3"/>
      <c r="L702" s="3"/>
      <c r="M702" s="3"/>
      <c r="N702" s="70"/>
      <c r="O702" s="3"/>
      <c r="P702" s="3"/>
      <c r="Q702" s="25"/>
      <c r="R702" s="3"/>
      <c r="S702" s="1"/>
      <c r="T702" s="1"/>
      <c r="U702" s="1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81"/>
      <c r="AN702" s="81"/>
      <c r="AO702" s="81"/>
      <c r="AP702" s="81"/>
      <c r="AQ702" s="81"/>
      <c r="AR702" s="81"/>
      <c r="AS702" s="81"/>
      <c r="AT702" s="81"/>
      <c r="AU702" s="81"/>
      <c r="AV702" s="81"/>
      <c r="AW702" s="81"/>
      <c r="AX702" s="81"/>
      <c r="AY702" s="81"/>
      <c r="AZ702" s="81"/>
      <c r="BA702" s="81"/>
      <c r="BB702" s="81"/>
    </row>
    <row r="703">
      <c r="A703" s="1"/>
      <c r="B703" s="3"/>
      <c r="C703" s="3"/>
      <c r="D703" s="3"/>
      <c r="E703" s="3"/>
      <c r="F703" s="3"/>
      <c r="G703" s="136"/>
      <c r="H703" s="3"/>
      <c r="I703" s="3"/>
      <c r="J703" s="1"/>
      <c r="K703" s="3"/>
      <c r="L703" s="3"/>
      <c r="M703" s="3"/>
      <c r="N703" s="70"/>
      <c r="O703" s="3"/>
      <c r="P703" s="3"/>
      <c r="Q703" s="25"/>
      <c r="R703" s="3"/>
      <c r="S703" s="1"/>
      <c r="T703" s="1"/>
      <c r="U703" s="1"/>
      <c r="V703" s="1"/>
      <c r="W703" s="1"/>
      <c r="X703" s="1"/>
      <c r="Y703" s="1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81"/>
      <c r="AN703" s="81"/>
      <c r="AO703" s="81"/>
      <c r="AP703" s="81"/>
      <c r="AQ703" s="81"/>
      <c r="AR703" s="81"/>
      <c r="AS703" s="81"/>
      <c r="AT703" s="81"/>
      <c r="AU703" s="81"/>
      <c r="AV703" s="81"/>
      <c r="AW703" s="81"/>
      <c r="AX703" s="81"/>
      <c r="AY703" s="81"/>
      <c r="AZ703" s="81"/>
      <c r="BA703" s="81"/>
      <c r="BB703" s="81"/>
    </row>
    <row r="704">
      <c r="A704" s="3"/>
      <c r="B704" s="3"/>
      <c r="C704" s="3"/>
      <c r="D704" s="131"/>
      <c r="E704" s="3"/>
      <c r="F704" s="3"/>
      <c r="G704" s="136"/>
      <c r="H704" s="3"/>
      <c r="I704" s="3"/>
      <c r="J704" s="1"/>
      <c r="K704" s="3"/>
      <c r="L704" s="3"/>
      <c r="M704" s="3"/>
      <c r="N704" s="70"/>
      <c r="O704" s="3"/>
      <c r="P704" s="3"/>
      <c r="Q704" s="25"/>
      <c r="R704" s="1"/>
      <c r="S704" s="1"/>
      <c r="T704" s="1"/>
      <c r="U704" s="1"/>
      <c r="V704" s="3"/>
      <c r="W704" s="1"/>
      <c r="X704" s="1"/>
      <c r="Y704" s="1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81"/>
      <c r="AN704" s="81"/>
      <c r="AO704" s="81"/>
      <c r="AP704" s="81"/>
      <c r="AQ704" s="81"/>
      <c r="AR704" s="81"/>
      <c r="AS704" s="81"/>
      <c r="AT704" s="81"/>
      <c r="AU704" s="81"/>
      <c r="AV704" s="81"/>
      <c r="AW704" s="81"/>
      <c r="AX704" s="81"/>
      <c r="AY704" s="81"/>
      <c r="AZ704" s="81"/>
      <c r="BA704" s="81"/>
      <c r="BB704" s="81"/>
    </row>
    <row r="705">
      <c r="A705" s="3"/>
      <c r="B705" s="3"/>
      <c r="C705" s="3"/>
      <c r="D705" s="130"/>
      <c r="E705" s="3"/>
      <c r="F705" s="3"/>
      <c r="G705" s="136"/>
      <c r="H705" s="3"/>
      <c r="I705" s="3"/>
      <c r="J705" s="1"/>
      <c r="K705" s="3"/>
      <c r="L705" s="3"/>
      <c r="M705" s="3"/>
      <c r="N705" s="105"/>
      <c r="O705" s="1"/>
      <c r="P705" s="3"/>
      <c r="Q705" s="25"/>
      <c r="R705" s="3"/>
      <c r="S705" s="1"/>
      <c r="T705" s="1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81"/>
      <c r="AN705" s="81"/>
      <c r="AO705" s="81"/>
      <c r="AP705" s="81"/>
      <c r="AQ705" s="81"/>
      <c r="AR705" s="81"/>
      <c r="AS705" s="81"/>
      <c r="AT705" s="81"/>
      <c r="AU705" s="81"/>
      <c r="AV705" s="81"/>
      <c r="AW705" s="81"/>
      <c r="AX705" s="81"/>
      <c r="AY705" s="81"/>
      <c r="AZ705" s="81"/>
      <c r="BA705" s="81"/>
      <c r="BB705" s="81"/>
    </row>
    <row r="706">
      <c r="A706" s="3"/>
      <c r="B706" s="3"/>
      <c r="C706" s="3"/>
      <c r="D706" s="3"/>
      <c r="E706" s="3"/>
      <c r="F706" s="3"/>
      <c r="G706" s="136"/>
      <c r="H706" s="3"/>
      <c r="I706" s="3"/>
      <c r="J706" s="3"/>
      <c r="K706" s="3"/>
      <c r="L706" s="3"/>
      <c r="M706" s="3"/>
      <c r="N706" s="70"/>
      <c r="O706" s="3"/>
      <c r="P706" s="3"/>
      <c r="Q706" s="142"/>
      <c r="R706" s="3"/>
      <c r="S706" s="1"/>
      <c r="T706" s="1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81"/>
      <c r="AN706" s="81"/>
      <c r="AO706" s="81"/>
      <c r="AP706" s="81"/>
      <c r="AQ706" s="81"/>
      <c r="AR706" s="81"/>
      <c r="AS706" s="81"/>
      <c r="AT706" s="81"/>
      <c r="AU706" s="81"/>
      <c r="AV706" s="81"/>
      <c r="AW706" s="81"/>
      <c r="AX706" s="81"/>
      <c r="AY706" s="81"/>
      <c r="AZ706" s="81"/>
      <c r="BA706" s="81"/>
      <c r="BB706" s="81"/>
    </row>
    <row r="707">
      <c r="A707" s="3"/>
      <c r="B707" s="3"/>
      <c r="C707" s="3"/>
      <c r="D707" s="131"/>
      <c r="E707" s="3"/>
      <c r="F707" s="3"/>
      <c r="G707" s="136"/>
      <c r="H707" s="3"/>
      <c r="I707" s="3"/>
      <c r="J707" s="1"/>
      <c r="K707" s="3"/>
      <c r="L707" s="3"/>
      <c r="M707" s="3"/>
      <c r="N707" s="70"/>
      <c r="O707" s="3"/>
      <c r="P707" s="3"/>
      <c r="Q707" s="25"/>
      <c r="R707" s="1"/>
      <c r="S707" s="1"/>
      <c r="T707" s="1"/>
      <c r="U707" s="1"/>
      <c r="V707" s="3"/>
      <c r="W707" s="1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81"/>
      <c r="AN707" s="81"/>
      <c r="AO707" s="81"/>
      <c r="AP707" s="81"/>
      <c r="AQ707" s="81"/>
      <c r="AR707" s="81"/>
      <c r="AS707" s="81"/>
      <c r="AT707" s="81"/>
      <c r="AU707" s="81"/>
      <c r="AV707" s="81"/>
      <c r="AW707" s="81"/>
      <c r="AX707" s="81"/>
      <c r="AY707" s="81"/>
      <c r="AZ707" s="81"/>
      <c r="BA707" s="81"/>
      <c r="BB707" s="81"/>
    </row>
    <row r="708">
      <c r="A708" s="3"/>
      <c r="B708" s="3"/>
      <c r="C708" s="3"/>
      <c r="D708" s="3"/>
      <c r="E708" s="3"/>
      <c r="F708" s="3"/>
      <c r="G708" s="136"/>
      <c r="H708" s="3"/>
      <c r="I708" s="1"/>
      <c r="J708" s="3"/>
      <c r="K708" s="3"/>
      <c r="L708" s="3"/>
      <c r="M708" s="3"/>
      <c r="N708" s="70"/>
      <c r="O708" s="3"/>
      <c r="P708" s="3"/>
      <c r="Q708" s="142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81"/>
      <c r="AN708" s="81"/>
      <c r="AO708" s="81"/>
      <c r="AP708" s="81"/>
      <c r="AQ708" s="81"/>
      <c r="AR708" s="81"/>
      <c r="AS708" s="81"/>
      <c r="AT708" s="81"/>
      <c r="AU708" s="81"/>
      <c r="AV708" s="81"/>
      <c r="AW708" s="81"/>
      <c r="AX708" s="81"/>
      <c r="AY708" s="81"/>
      <c r="AZ708" s="81"/>
      <c r="BA708" s="81"/>
      <c r="BB708" s="81"/>
    </row>
    <row r="709">
      <c r="A709" s="3"/>
      <c r="B709" s="3"/>
      <c r="C709" s="3"/>
      <c r="D709" s="144"/>
      <c r="E709" s="3"/>
      <c r="F709" s="3"/>
      <c r="G709" s="3"/>
      <c r="H709" s="3"/>
      <c r="I709" s="3"/>
      <c r="J709" s="3"/>
      <c r="K709" s="3"/>
      <c r="L709" s="3"/>
      <c r="M709" s="3"/>
      <c r="N709" s="70"/>
      <c r="O709" s="3"/>
      <c r="P709" s="3"/>
      <c r="Q709" s="25"/>
      <c r="R709" s="3"/>
      <c r="S709" s="3"/>
      <c r="T709" s="1"/>
      <c r="U709" s="1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81"/>
      <c r="AN709" s="81"/>
      <c r="AO709" s="81"/>
      <c r="AP709" s="81"/>
      <c r="AQ709" s="81"/>
      <c r="AR709" s="81"/>
      <c r="AS709" s="81"/>
      <c r="AT709" s="81"/>
      <c r="AU709" s="81"/>
      <c r="AV709" s="81"/>
      <c r="AW709" s="81"/>
      <c r="AX709" s="81"/>
      <c r="AY709" s="81"/>
      <c r="AZ709" s="81"/>
      <c r="BA709" s="81"/>
      <c r="BB709" s="81"/>
    </row>
    <row r="710">
      <c r="A710" s="3"/>
      <c r="B710" s="3"/>
      <c r="C710" s="1"/>
      <c r="D710" s="3"/>
      <c r="E710" s="3"/>
      <c r="F710" s="1"/>
      <c r="G710" s="136"/>
      <c r="H710" s="3"/>
      <c r="I710" s="3"/>
      <c r="J710" s="1"/>
      <c r="K710" s="3"/>
      <c r="L710" s="3"/>
      <c r="M710" s="3"/>
      <c r="N710" s="70"/>
      <c r="O710" s="3"/>
      <c r="P710" s="3"/>
      <c r="Q710" s="25"/>
      <c r="R710" s="1"/>
      <c r="S710" s="1"/>
      <c r="T710" s="1"/>
      <c r="U710" s="1"/>
      <c r="V710" s="3"/>
      <c r="W710" s="1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81"/>
      <c r="AN710" s="81"/>
      <c r="AO710" s="81"/>
      <c r="AP710" s="81"/>
      <c r="AQ710" s="81"/>
      <c r="AR710" s="81"/>
      <c r="AS710" s="81"/>
      <c r="AT710" s="81"/>
      <c r="AU710" s="81"/>
      <c r="AV710" s="81"/>
      <c r="AW710" s="81"/>
      <c r="AX710" s="81"/>
      <c r="AY710" s="81"/>
      <c r="AZ710" s="81"/>
      <c r="BA710" s="81"/>
      <c r="BB710" s="81"/>
    </row>
    <row r="711">
      <c r="A711" s="3"/>
      <c r="B711" s="3"/>
      <c r="C711" s="3"/>
      <c r="D711" s="3"/>
      <c r="E711" s="3"/>
      <c r="F711" s="3"/>
      <c r="G711" s="136"/>
      <c r="H711" s="3"/>
      <c r="I711" s="3"/>
      <c r="J711" s="1"/>
      <c r="K711" s="3"/>
      <c r="L711" s="3"/>
      <c r="M711" s="3"/>
      <c r="N711" s="70"/>
      <c r="O711" s="3"/>
      <c r="P711" s="3"/>
      <c r="Q711" s="25"/>
      <c r="R711" s="3"/>
      <c r="S711" s="1"/>
      <c r="T711" s="1"/>
      <c r="U711" s="1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81"/>
      <c r="AN711" s="81"/>
      <c r="AO711" s="81"/>
      <c r="AP711" s="81"/>
      <c r="AQ711" s="81"/>
      <c r="AR711" s="81"/>
      <c r="AS711" s="81"/>
      <c r="AT711" s="81"/>
      <c r="AU711" s="81"/>
      <c r="AV711" s="81"/>
      <c r="AW711" s="81"/>
      <c r="AX711" s="81"/>
      <c r="AY711" s="81"/>
      <c r="AZ711" s="81"/>
      <c r="BA711" s="81"/>
      <c r="BB711" s="81"/>
    </row>
    <row r="712">
      <c r="A712" s="3"/>
      <c r="B712" s="3"/>
      <c r="C712" s="3"/>
      <c r="D712" s="1"/>
      <c r="E712" s="3"/>
      <c r="F712" s="3"/>
      <c r="G712" s="136"/>
      <c r="H712" s="3"/>
      <c r="I712" s="3"/>
      <c r="J712" s="1"/>
      <c r="K712" s="3"/>
      <c r="L712" s="3"/>
      <c r="M712" s="3"/>
      <c r="N712" s="70"/>
      <c r="O712" s="3"/>
      <c r="P712" s="3"/>
      <c r="Q712" s="25"/>
      <c r="R712" s="3"/>
      <c r="S712" s="3"/>
      <c r="T712" s="1"/>
      <c r="U712" s="1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81"/>
      <c r="AN712" s="81"/>
      <c r="AO712" s="81"/>
      <c r="AP712" s="81"/>
      <c r="AQ712" s="81"/>
      <c r="AR712" s="81"/>
      <c r="AS712" s="81"/>
      <c r="AT712" s="81"/>
      <c r="AU712" s="81"/>
      <c r="AV712" s="81"/>
      <c r="AW712" s="81"/>
      <c r="AX712" s="81"/>
      <c r="AY712" s="81"/>
      <c r="AZ712" s="81"/>
      <c r="BA712" s="81"/>
      <c r="BB712" s="81"/>
    </row>
    <row r="713">
      <c r="A713" s="3"/>
      <c r="B713" s="3"/>
      <c r="C713" s="3"/>
      <c r="D713" s="3"/>
      <c r="E713" s="3"/>
      <c r="F713" s="3"/>
      <c r="G713" s="136"/>
      <c r="H713" s="3"/>
      <c r="I713" s="3"/>
      <c r="J713" s="3"/>
      <c r="K713" s="3"/>
      <c r="L713" s="3"/>
      <c r="M713" s="3"/>
      <c r="N713" s="70"/>
      <c r="O713" s="3"/>
      <c r="P713" s="3"/>
      <c r="Q713" s="25"/>
      <c r="R713" s="3"/>
      <c r="S713" s="1"/>
      <c r="T713" s="1"/>
      <c r="U713" s="1"/>
      <c r="V713" s="3"/>
      <c r="W713" s="3"/>
      <c r="X713" s="1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81"/>
      <c r="AN713" s="81"/>
      <c r="AO713" s="81"/>
      <c r="AP713" s="81"/>
      <c r="AQ713" s="81"/>
      <c r="AR713" s="81"/>
      <c r="AS713" s="81"/>
      <c r="AT713" s="81"/>
      <c r="AU713" s="81"/>
      <c r="AV713" s="81"/>
      <c r="AW713" s="81"/>
      <c r="AX713" s="81"/>
      <c r="AY713" s="81"/>
      <c r="AZ713" s="81"/>
      <c r="BA713" s="81"/>
      <c r="BB713" s="81"/>
    </row>
    <row r="714">
      <c r="A714" s="1"/>
      <c r="B714" s="3"/>
      <c r="C714" s="3"/>
      <c r="D714" s="3"/>
      <c r="E714" s="3"/>
      <c r="F714" s="3"/>
      <c r="G714" s="136"/>
      <c r="H714" s="3"/>
      <c r="I714" s="3"/>
      <c r="J714" s="1"/>
      <c r="K714" s="3"/>
      <c r="L714" s="3"/>
      <c r="M714" s="3"/>
      <c r="N714" s="70"/>
      <c r="O714" s="3"/>
      <c r="P714" s="3"/>
      <c r="Q714" s="25"/>
      <c r="R714" s="3"/>
      <c r="S714" s="1"/>
      <c r="T714" s="1"/>
      <c r="U714" s="1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81"/>
      <c r="AN714" s="81"/>
      <c r="AO714" s="81"/>
      <c r="AP714" s="81"/>
      <c r="AQ714" s="81"/>
      <c r="AR714" s="81"/>
      <c r="AS714" s="81"/>
      <c r="AT714" s="81"/>
      <c r="AU714" s="81"/>
      <c r="AV714" s="81"/>
      <c r="AW714" s="81"/>
      <c r="AX714" s="81"/>
      <c r="AY714" s="81"/>
      <c r="AZ714" s="81"/>
      <c r="BA714" s="81"/>
      <c r="BB714" s="81"/>
    </row>
    <row r="715">
      <c r="A715" s="3"/>
      <c r="B715" s="3"/>
      <c r="C715" s="3"/>
      <c r="D715" s="3"/>
      <c r="E715" s="3"/>
      <c r="F715" s="3"/>
      <c r="G715" s="136"/>
      <c r="H715" s="3"/>
      <c r="I715" s="3"/>
      <c r="J715" s="1"/>
      <c r="K715" s="3"/>
      <c r="L715" s="3"/>
      <c r="M715" s="3"/>
      <c r="N715" s="70"/>
      <c r="O715" s="3"/>
      <c r="P715" s="3"/>
      <c r="Q715" s="25"/>
      <c r="R715" s="3"/>
      <c r="S715" s="1"/>
      <c r="T715" s="1"/>
      <c r="U715" s="1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81"/>
      <c r="AN715" s="81"/>
      <c r="AO715" s="81"/>
      <c r="AP715" s="81"/>
      <c r="AQ715" s="81"/>
      <c r="AR715" s="81"/>
      <c r="AS715" s="81"/>
      <c r="AT715" s="81"/>
      <c r="AU715" s="81"/>
      <c r="AV715" s="81"/>
      <c r="AW715" s="81"/>
      <c r="AX715" s="81"/>
      <c r="AY715" s="81"/>
      <c r="AZ715" s="81"/>
      <c r="BA715" s="81"/>
      <c r="BB715" s="81"/>
    </row>
    <row r="716">
      <c r="A716" s="3"/>
      <c r="B716" s="3"/>
      <c r="C716" s="3"/>
      <c r="D716" s="144"/>
      <c r="E716" s="3"/>
      <c r="F716" s="3"/>
      <c r="G716" s="136"/>
      <c r="H716" s="3"/>
      <c r="I716" s="3"/>
      <c r="J716" s="1"/>
      <c r="K716" s="3"/>
      <c r="L716" s="3"/>
      <c r="M716" s="3"/>
      <c r="N716" s="70"/>
      <c r="O716" s="3"/>
      <c r="P716" s="3"/>
      <c r="Q716" s="25"/>
      <c r="R716" s="3"/>
      <c r="S716" s="3"/>
      <c r="T716" s="1"/>
      <c r="U716" s="1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81"/>
      <c r="AN716" s="81"/>
      <c r="AO716" s="81"/>
      <c r="AP716" s="81"/>
      <c r="AQ716" s="81"/>
      <c r="AR716" s="81"/>
      <c r="AS716" s="81"/>
      <c r="AT716" s="81"/>
      <c r="AU716" s="81"/>
      <c r="AV716" s="81"/>
      <c r="AW716" s="81"/>
      <c r="AX716" s="81"/>
      <c r="AY716" s="81"/>
      <c r="AZ716" s="81"/>
      <c r="BA716" s="81"/>
      <c r="BB716" s="81"/>
    </row>
    <row r="717">
      <c r="A717" s="3"/>
      <c r="B717" s="1"/>
      <c r="C717" s="3"/>
      <c r="D717" s="146"/>
      <c r="E717" s="1"/>
      <c r="F717" s="3"/>
      <c r="G717" s="136"/>
      <c r="H717" s="3"/>
      <c r="I717" s="3"/>
      <c r="J717" s="3"/>
      <c r="K717" s="3"/>
      <c r="L717" s="3"/>
      <c r="M717" s="3"/>
      <c r="N717" s="70"/>
      <c r="O717" s="3"/>
      <c r="P717" s="3"/>
      <c r="Q717" s="25"/>
      <c r="R717" s="1"/>
      <c r="S717" s="1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81"/>
      <c r="AN717" s="81"/>
      <c r="AO717" s="81"/>
      <c r="AP717" s="81"/>
      <c r="AQ717" s="81"/>
      <c r="AR717" s="81"/>
      <c r="AS717" s="81"/>
      <c r="AT717" s="81"/>
      <c r="AU717" s="81"/>
      <c r="AV717" s="81"/>
      <c r="AW717" s="81"/>
      <c r="AX717" s="81"/>
      <c r="AY717" s="81"/>
      <c r="AZ717" s="81"/>
      <c r="BA717" s="81"/>
      <c r="BB717" s="81"/>
    </row>
    <row r="718">
      <c r="A718" s="3"/>
      <c r="B718" s="3"/>
      <c r="C718" s="3"/>
      <c r="D718" s="3"/>
      <c r="E718" s="3"/>
      <c r="F718" s="3"/>
      <c r="G718" s="136"/>
      <c r="H718" s="3"/>
      <c r="I718" s="3"/>
      <c r="J718" s="1"/>
      <c r="K718" s="3"/>
      <c r="L718" s="3"/>
      <c r="M718" s="3"/>
      <c r="N718" s="70"/>
      <c r="O718" s="3"/>
      <c r="P718" s="3"/>
      <c r="Q718" s="25"/>
      <c r="R718" s="3"/>
      <c r="S718" s="3"/>
      <c r="T718" s="3"/>
      <c r="U718" s="1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81"/>
      <c r="AN718" s="81"/>
      <c r="AO718" s="81"/>
      <c r="AP718" s="81"/>
      <c r="AQ718" s="81"/>
      <c r="AR718" s="81"/>
      <c r="AS718" s="81"/>
      <c r="AT718" s="81"/>
      <c r="AU718" s="81"/>
      <c r="AV718" s="81"/>
      <c r="AW718" s="81"/>
      <c r="AX718" s="81"/>
      <c r="AY718" s="81"/>
      <c r="AZ718" s="81"/>
      <c r="BA718" s="81"/>
      <c r="BB718" s="81"/>
    </row>
    <row r="719">
      <c r="A719" s="1"/>
      <c r="B719" s="3"/>
      <c r="C719" s="3"/>
      <c r="D719" s="3"/>
      <c r="E719" s="3"/>
      <c r="F719" s="3"/>
      <c r="G719" s="136"/>
      <c r="H719" s="3"/>
      <c r="I719" s="3"/>
      <c r="J719" s="1"/>
      <c r="K719" s="3"/>
      <c r="L719" s="3"/>
      <c r="M719" s="3"/>
      <c r="N719" s="70"/>
      <c r="O719" s="3"/>
      <c r="P719" s="3"/>
      <c r="Q719" s="25"/>
      <c r="R719" s="3"/>
      <c r="S719" s="1"/>
      <c r="T719" s="1"/>
      <c r="U719" s="1"/>
      <c r="V719" s="3"/>
      <c r="W719" s="3"/>
      <c r="X719" s="1"/>
      <c r="Y719" s="1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81"/>
      <c r="AN719" s="81"/>
      <c r="AO719" s="81"/>
      <c r="AP719" s="81"/>
      <c r="AQ719" s="81"/>
      <c r="AR719" s="81"/>
      <c r="AS719" s="81"/>
      <c r="AT719" s="81"/>
      <c r="AU719" s="81"/>
      <c r="AV719" s="81"/>
      <c r="AW719" s="81"/>
      <c r="AX719" s="81"/>
      <c r="AY719" s="81"/>
      <c r="AZ719" s="81"/>
      <c r="BA719" s="81"/>
      <c r="BB719" s="81"/>
    </row>
    <row r="720">
      <c r="A720" s="3"/>
      <c r="B720" s="3"/>
      <c r="C720" s="3"/>
      <c r="D720" s="1"/>
      <c r="E720" s="3"/>
      <c r="F720" s="1"/>
      <c r="G720" s="136"/>
      <c r="H720" s="3"/>
      <c r="I720" s="3"/>
      <c r="J720" s="3"/>
      <c r="K720" s="3"/>
      <c r="L720" s="3"/>
      <c r="M720" s="3"/>
      <c r="N720" s="70"/>
      <c r="O720" s="3"/>
      <c r="P720" s="3"/>
      <c r="Q720" s="25"/>
      <c r="R720" s="3"/>
      <c r="S720" s="1"/>
      <c r="T720" s="1"/>
      <c r="U720" s="1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81"/>
      <c r="AN720" s="81"/>
      <c r="AO720" s="81"/>
      <c r="AP720" s="81"/>
      <c r="AQ720" s="81"/>
      <c r="AR720" s="81"/>
      <c r="AS720" s="81"/>
      <c r="AT720" s="81"/>
      <c r="AU720" s="81"/>
      <c r="AV720" s="81"/>
      <c r="AW720" s="81"/>
      <c r="AX720" s="81"/>
      <c r="AY720" s="81"/>
      <c r="AZ720" s="81"/>
      <c r="BA720" s="81"/>
      <c r="BB720" s="81"/>
    </row>
    <row r="721">
      <c r="A721" s="1"/>
      <c r="B721" s="1"/>
      <c r="C721" s="3"/>
      <c r="D721" s="3"/>
      <c r="E721" s="3"/>
      <c r="F721" s="3"/>
      <c r="G721" s="136"/>
      <c r="H721" s="3"/>
      <c r="I721" s="3"/>
      <c r="J721" s="3"/>
      <c r="K721" s="3"/>
      <c r="L721" s="3"/>
      <c r="M721" s="3"/>
      <c r="N721" s="70"/>
      <c r="O721" s="3"/>
      <c r="P721" s="3"/>
      <c r="Q721" s="25"/>
      <c r="R721" s="1"/>
      <c r="S721" s="1"/>
      <c r="T721" s="1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81"/>
      <c r="AN721" s="81"/>
      <c r="AO721" s="81"/>
      <c r="AP721" s="81"/>
      <c r="AQ721" s="81"/>
      <c r="AR721" s="81"/>
      <c r="AS721" s="81"/>
      <c r="AT721" s="81"/>
      <c r="AU721" s="81"/>
      <c r="AV721" s="81"/>
      <c r="AW721" s="81"/>
      <c r="AX721" s="81"/>
      <c r="AY721" s="81"/>
      <c r="AZ721" s="81"/>
      <c r="BA721" s="81"/>
      <c r="BB721" s="81"/>
    </row>
    <row r="722">
      <c r="A722" s="3"/>
      <c r="B722" s="3"/>
      <c r="C722" s="3"/>
      <c r="D722" s="141"/>
      <c r="E722" s="3"/>
      <c r="F722" s="3"/>
      <c r="G722" s="136"/>
      <c r="H722" s="3"/>
      <c r="I722" s="3"/>
      <c r="J722" s="3"/>
      <c r="K722" s="3"/>
      <c r="L722" s="3"/>
      <c r="M722" s="3"/>
      <c r="N722" s="70"/>
      <c r="O722" s="3"/>
      <c r="P722" s="3"/>
      <c r="Q722" s="25"/>
      <c r="R722" s="3"/>
      <c r="S722" s="1"/>
      <c r="T722" s="1"/>
      <c r="U722" s="1"/>
      <c r="V722" s="1"/>
      <c r="W722" s="1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81"/>
      <c r="AN722" s="81"/>
      <c r="AO722" s="81"/>
      <c r="AP722" s="81"/>
      <c r="AQ722" s="81"/>
      <c r="AR722" s="81"/>
      <c r="AS722" s="81"/>
      <c r="AT722" s="81"/>
      <c r="AU722" s="81"/>
      <c r="AV722" s="81"/>
      <c r="AW722" s="81"/>
      <c r="AX722" s="81"/>
      <c r="AY722" s="81"/>
      <c r="AZ722" s="81"/>
      <c r="BA722" s="81"/>
      <c r="BB722" s="81"/>
    </row>
    <row r="723">
      <c r="A723" s="3"/>
      <c r="B723" s="3"/>
      <c r="C723" s="3"/>
      <c r="D723" s="1"/>
      <c r="E723" s="3"/>
      <c r="F723" s="1"/>
      <c r="G723" s="136"/>
      <c r="H723" s="3"/>
      <c r="I723" s="1"/>
      <c r="J723" s="3"/>
      <c r="K723" s="3"/>
      <c r="L723" s="3"/>
      <c r="M723" s="3"/>
      <c r="N723" s="70"/>
      <c r="O723" s="3"/>
      <c r="P723" s="3"/>
      <c r="Q723" s="25"/>
      <c r="R723" s="1"/>
      <c r="S723" s="1"/>
      <c r="T723" s="1"/>
      <c r="U723" s="1"/>
      <c r="V723" s="1"/>
      <c r="W723" s="1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81"/>
      <c r="AN723" s="81"/>
      <c r="AO723" s="81"/>
      <c r="AP723" s="81"/>
      <c r="AQ723" s="81"/>
      <c r="AR723" s="81"/>
      <c r="AS723" s="81"/>
      <c r="AT723" s="81"/>
      <c r="AU723" s="81"/>
      <c r="AV723" s="81"/>
      <c r="AW723" s="81"/>
      <c r="AX723" s="81"/>
      <c r="AY723" s="81"/>
      <c r="AZ723" s="81"/>
      <c r="BA723" s="81"/>
      <c r="BB723" s="81"/>
    </row>
    <row r="724">
      <c r="A724" s="3"/>
      <c r="B724" s="3"/>
      <c r="C724" s="3"/>
      <c r="D724" s="141"/>
      <c r="E724" s="3"/>
      <c r="F724" s="3"/>
      <c r="G724" s="136"/>
      <c r="H724" s="3"/>
      <c r="I724" s="3"/>
      <c r="J724" s="1"/>
      <c r="K724" s="3"/>
      <c r="L724" s="3"/>
      <c r="M724" s="3"/>
      <c r="N724" s="105"/>
      <c r="O724" s="1"/>
      <c r="P724" s="3"/>
      <c r="Q724" s="25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81"/>
      <c r="AN724" s="81"/>
      <c r="AO724" s="81"/>
      <c r="AP724" s="81"/>
      <c r="AQ724" s="81"/>
      <c r="AR724" s="81"/>
      <c r="AS724" s="81"/>
      <c r="AT724" s="81"/>
      <c r="AU724" s="81"/>
      <c r="AV724" s="81"/>
      <c r="AW724" s="81"/>
      <c r="AX724" s="81"/>
      <c r="AY724" s="81"/>
      <c r="AZ724" s="81"/>
      <c r="BA724" s="81"/>
      <c r="BB724" s="81"/>
    </row>
    <row r="725">
      <c r="A725" s="3"/>
      <c r="B725" s="1"/>
      <c r="C725" s="3"/>
      <c r="D725" s="3"/>
      <c r="E725" s="3"/>
      <c r="F725" s="3"/>
      <c r="G725" s="136"/>
      <c r="H725" s="3"/>
      <c r="I725" s="1"/>
      <c r="J725" s="1"/>
      <c r="K725" s="3"/>
      <c r="L725" s="3"/>
      <c r="M725" s="3"/>
      <c r="N725" s="105"/>
      <c r="O725" s="1"/>
      <c r="P725" s="3"/>
      <c r="Q725" s="25"/>
      <c r="R725" s="1"/>
      <c r="S725" s="1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81"/>
      <c r="AN725" s="81"/>
      <c r="AO725" s="81"/>
      <c r="AP725" s="81"/>
      <c r="AQ725" s="81"/>
      <c r="AR725" s="81"/>
      <c r="AS725" s="81"/>
      <c r="AT725" s="81"/>
      <c r="AU725" s="81"/>
      <c r="AV725" s="81"/>
      <c r="AW725" s="81"/>
      <c r="AX725" s="81"/>
      <c r="AY725" s="81"/>
      <c r="AZ725" s="81"/>
      <c r="BA725" s="81"/>
      <c r="BB725" s="81"/>
    </row>
    <row r="726">
      <c r="A726" s="3"/>
      <c r="B726" s="3"/>
      <c r="C726" s="3"/>
      <c r="D726" s="3"/>
      <c r="E726" s="3"/>
      <c r="F726" s="3"/>
      <c r="G726" s="136"/>
      <c r="H726" s="3"/>
      <c r="I726" s="3"/>
      <c r="J726" s="3"/>
      <c r="K726" s="3"/>
      <c r="L726" s="3"/>
      <c r="M726" s="3"/>
      <c r="N726" s="70"/>
      <c r="O726" s="3"/>
      <c r="P726" s="3"/>
      <c r="Q726" s="25"/>
      <c r="R726" s="3"/>
      <c r="S726" s="1"/>
      <c r="T726" s="1"/>
      <c r="U726" s="1"/>
      <c r="V726" s="3"/>
      <c r="W726" s="3"/>
      <c r="X726" s="1"/>
      <c r="Y726" s="1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81"/>
      <c r="AN726" s="81"/>
      <c r="AO726" s="81"/>
      <c r="AP726" s="81"/>
      <c r="AQ726" s="81"/>
      <c r="AR726" s="81"/>
      <c r="AS726" s="81"/>
      <c r="AT726" s="81"/>
      <c r="AU726" s="81"/>
      <c r="AV726" s="81"/>
      <c r="AW726" s="81"/>
      <c r="AX726" s="81"/>
      <c r="AY726" s="81"/>
      <c r="AZ726" s="81"/>
      <c r="BA726" s="81"/>
      <c r="BB726" s="81"/>
    </row>
    <row r="727">
      <c r="A727" s="3"/>
      <c r="B727" s="3"/>
      <c r="C727" s="3"/>
      <c r="D727" s="3"/>
      <c r="E727" s="3"/>
      <c r="F727" s="3"/>
      <c r="G727" s="136"/>
      <c r="H727" s="3"/>
      <c r="I727" s="3"/>
      <c r="J727" s="1"/>
      <c r="K727" s="3"/>
      <c r="L727" s="3"/>
      <c r="M727" s="3"/>
      <c r="N727" s="70"/>
      <c r="O727" s="3"/>
      <c r="P727" s="3"/>
      <c r="Q727" s="25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81"/>
      <c r="AN727" s="81"/>
      <c r="AO727" s="81"/>
      <c r="AP727" s="81"/>
      <c r="AQ727" s="81"/>
      <c r="AR727" s="81"/>
      <c r="AS727" s="81"/>
      <c r="AT727" s="81"/>
      <c r="AU727" s="81"/>
      <c r="AV727" s="81"/>
      <c r="AW727" s="81"/>
      <c r="AX727" s="81"/>
      <c r="AY727" s="81"/>
      <c r="AZ727" s="81"/>
      <c r="BA727" s="81"/>
      <c r="BB727" s="81"/>
    </row>
    <row r="728">
      <c r="A728" s="3"/>
      <c r="B728" s="3"/>
      <c r="C728" s="3"/>
      <c r="D728" s="3"/>
      <c r="E728" s="3"/>
      <c r="F728" s="3"/>
      <c r="G728" s="136"/>
      <c r="H728" s="3"/>
      <c r="I728" s="3"/>
      <c r="J728" s="1"/>
      <c r="K728" s="3"/>
      <c r="L728" s="3"/>
      <c r="M728" s="3"/>
      <c r="N728" s="70"/>
      <c r="O728" s="3"/>
      <c r="P728" s="3"/>
      <c r="Q728" s="25"/>
      <c r="R728" s="3"/>
      <c r="S728" s="1"/>
      <c r="T728" s="1"/>
      <c r="U728" s="1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81"/>
      <c r="AN728" s="81"/>
      <c r="AO728" s="81"/>
      <c r="AP728" s="81"/>
      <c r="AQ728" s="81"/>
      <c r="AR728" s="81"/>
      <c r="AS728" s="81"/>
      <c r="AT728" s="81"/>
      <c r="AU728" s="81"/>
      <c r="AV728" s="81"/>
      <c r="AW728" s="81"/>
      <c r="AX728" s="81"/>
      <c r="AY728" s="81"/>
      <c r="AZ728" s="81"/>
      <c r="BA728" s="81"/>
      <c r="BB728" s="81"/>
    </row>
    <row r="729">
      <c r="A729" s="3"/>
      <c r="B729" s="3"/>
      <c r="C729" s="3"/>
      <c r="D729" s="3"/>
      <c r="E729" s="3"/>
      <c r="F729" s="3"/>
      <c r="G729" s="136"/>
      <c r="H729" s="3"/>
      <c r="I729" s="3"/>
      <c r="J729" s="3"/>
      <c r="K729" s="3"/>
      <c r="L729" s="3"/>
      <c r="M729" s="3"/>
      <c r="N729" s="70"/>
      <c r="O729" s="3"/>
      <c r="P729" s="3"/>
      <c r="Q729" s="25"/>
      <c r="R729" s="3"/>
      <c r="S729" s="3"/>
      <c r="T729" s="1"/>
      <c r="U729" s="1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81"/>
      <c r="AN729" s="81"/>
      <c r="AO729" s="81"/>
      <c r="AP729" s="81"/>
      <c r="AQ729" s="81"/>
      <c r="AR729" s="81"/>
      <c r="AS729" s="81"/>
      <c r="AT729" s="81"/>
      <c r="AU729" s="81"/>
      <c r="AV729" s="81"/>
      <c r="AW729" s="81"/>
      <c r="AX729" s="81"/>
      <c r="AY729" s="81"/>
      <c r="AZ729" s="81"/>
      <c r="BA729" s="81"/>
      <c r="BB729" s="81"/>
    </row>
    <row r="730">
      <c r="A730" s="1"/>
      <c r="B730" s="3"/>
      <c r="C730" s="3"/>
      <c r="D730" s="3"/>
      <c r="E730" s="3"/>
      <c r="F730" s="3"/>
      <c r="G730" s="136"/>
      <c r="H730" s="3"/>
      <c r="I730" s="3"/>
      <c r="J730" s="3"/>
      <c r="K730" s="3"/>
      <c r="L730" s="3"/>
      <c r="M730" s="3"/>
      <c r="N730" s="70"/>
      <c r="O730" s="3"/>
      <c r="P730" s="3"/>
      <c r="Q730" s="25"/>
      <c r="R730" s="1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81"/>
      <c r="AN730" s="81"/>
      <c r="AO730" s="81"/>
      <c r="AP730" s="81"/>
      <c r="AQ730" s="81"/>
      <c r="AR730" s="81"/>
      <c r="AS730" s="81"/>
      <c r="AT730" s="81"/>
      <c r="AU730" s="81"/>
      <c r="AV730" s="81"/>
      <c r="AW730" s="81"/>
      <c r="AX730" s="81"/>
      <c r="AY730" s="81"/>
      <c r="AZ730" s="81"/>
      <c r="BA730" s="81"/>
      <c r="BB730" s="81"/>
    </row>
    <row r="731">
      <c r="A731" s="3"/>
      <c r="B731" s="3"/>
      <c r="C731" s="3"/>
      <c r="D731" s="131"/>
      <c r="E731" s="3"/>
      <c r="F731" s="3"/>
      <c r="G731" s="136"/>
      <c r="H731" s="3"/>
      <c r="I731" s="3"/>
      <c r="J731" s="1"/>
      <c r="K731" s="155"/>
      <c r="L731" s="3"/>
      <c r="M731" s="3"/>
      <c r="N731" s="70"/>
      <c r="O731" s="3"/>
      <c r="P731" s="3"/>
      <c r="Q731" s="25"/>
      <c r="R731" s="1"/>
      <c r="S731" s="1"/>
      <c r="T731" s="1"/>
      <c r="U731" s="1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81"/>
      <c r="AN731" s="81"/>
      <c r="AO731" s="81"/>
      <c r="AP731" s="81"/>
      <c r="AQ731" s="81"/>
      <c r="AR731" s="81"/>
      <c r="AS731" s="81"/>
      <c r="AT731" s="81"/>
      <c r="AU731" s="81"/>
      <c r="AV731" s="81"/>
      <c r="AW731" s="81"/>
      <c r="AX731" s="81"/>
      <c r="AY731" s="81"/>
      <c r="AZ731" s="81"/>
      <c r="BA731" s="81"/>
      <c r="BB731" s="81"/>
    </row>
    <row r="732">
      <c r="A732" s="3"/>
      <c r="B732" s="1"/>
      <c r="C732" s="3"/>
      <c r="D732" s="1"/>
      <c r="E732" s="1"/>
      <c r="F732" s="3"/>
      <c r="G732" s="136"/>
      <c r="H732" s="3"/>
      <c r="I732" s="156"/>
      <c r="J732" s="1"/>
      <c r="K732" s="3"/>
      <c r="L732" s="3"/>
      <c r="M732" s="3"/>
      <c r="N732" s="70"/>
      <c r="O732" s="3"/>
      <c r="P732" s="3"/>
      <c r="Q732" s="25"/>
      <c r="R732" s="1"/>
      <c r="S732" s="1"/>
      <c r="T732" s="1"/>
      <c r="U732" s="1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81"/>
      <c r="AN732" s="81"/>
      <c r="AO732" s="81"/>
      <c r="AP732" s="81"/>
      <c r="AQ732" s="81"/>
      <c r="AR732" s="81"/>
      <c r="AS732" s="81"/>
      <c r="AT732" s="81"/>
      <c r="AU732" s="81"/>
      <c r="AV732" s="81"/>
      <c r="AW732" s="81"/>
      <c r="AX732" s="81"/>
      <c r="AY732" s="81"/>
      <c r="AZ732" s="81"/>
      <c r="BA732" s="81"/>
      <c r="BB732" s="81"/>
    </row>
    <row r="733">
      <c r="A733" s="1"/>
      <c r="B733" s="3"/>
      <c r="C733" s="3"/>
      <c r="D733" s="1"/>
      <c r="E733" s="3"/>
      <c r="F733" s="3"/>
      <c r="G733" s="136"/>
      <c r="H733" s="3"/>
      <c r="I733" s="3"/>
      <c r="J733" s="1"/>
      <c r="K733" s="3"/>
      <c r="L733" s="3"/>
      <c r="M733" s="1"/>
      <c r="N733" s="70"/>
      <c r="O733" s="3"/>
      <c r="P733" s="3"/>
      <c r="Q733" s="25"/>
      <c r="R733" s="1"/>
      <c r="S733" s="1"/>
      <c r="T733" s="1"/>
      <c r="U733" s="1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81"/>
      <c r="AN733" s="81"/>
      <c r="AO733" s="81"/>
      <c r="AP733" s="81"/>
      <c r="AQ733" s="81"/>
      <c r="AR733" s="81"/>
      <c r="AS733" s="81"/>
      <c r="AT733" s="81"/>
      <c r="AU733" s="81"/>
      <c r="AV733" s="81"/>
      <c r="AW733" s="81"/>
      <c r="AX733" s="81"/>
      <c r="AY733" s="81"/>
      <c r="AZ733" s="81"/>
      <c r="BA733" s="81"/>
      <c r="BB733" s="81"/>
    </row>
    <row r="734">
      <c r="A734" s="3"/>
      <c r="B734" s="3"/>
      <c r="C734" s="3"/>
      <c r="D734" s="3"/>
      <c r="E734" s="3"/>
      <c r="F734" s="3"/>
      <c r="G734" s="136"/>
      <c r="H734" s="3"/>
      <c r="I734" s="3"/>
      <c r="J734" s="3"/>
      <c r="K734" s="3"/>
      <c r="L734" s="3"/>
      <c r="M734" s="3"/>
      <c r="N734" s="70"/>
      <c r="O734" s="3"/>
      <c r="P734" s="3"/>
      <c r="Q734" s="25"/>
      <c r="R734" s="3"/>
      <c r="S734" s="1"/>
      <c r="T734" s="1"/>
      <c r="U734" s="1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81"/>
      <c r="AN734" s="81"/>
      <c r="AO734" s="81"/>
      <c r="AP734" s="81"/>
      <c r="AQ734" s="81"/>
      <c r="AR734" s="81"/>
      <c r="AS734" s="81"/>
      <c r="AT734" s="81"/>
      <c r="AU734" s="81"/>
      <c r="AV734" s="81"/>
      <c r="AW734" s="81"/>
      <c r="AX734" s="81"/>
      <c r="AY734" s="81"/>
      <c r="AZ734" s="81"/>
      <c r="BA734" s="81"/>
      <c r="BB734" s="81"/>
    </row>
    <row r="735">
      <c r="A735" s="3"/>
      <c r="B735" s="3"/>
      <c r="C735" s="3"/>
      <c r="D735" s="3"/>
      <c r="E735" s="3"/>
      <c r="F735" s="3"/>
      <c r="G735" s="136"/>
      <c r="H735" s="3"/>
      <c r="I735" s="3"/>
      <c r="J735" s="1"/>
      <c r="K735" s="3"/>
      <c r="L735" s="3"/>
      <c r="M735" s="3"/>
      <c r="N735" s="70"/>
      <c r="O735" s="3"/>
      <c r="P735" s="3"/>
      <c r="Q735" s="25"/>
      <c r="R735" s="1"/>
      <c r="S735" s="1"/>
      <c r="T735" s="1"/>
      <c r="U735" s="1"/>
      <c r="V735" s="3"/>
      <c r="W735" s="1"/>
      <c r="X735" s="1"/>
      <c r="Y735" s="1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81"/>
      <c r="AN735" s="81"/>
      <c r="AO735" s="81"/>
      <c r="AP735" s="81"/>
      <c r="AQ735" s="81"/>
      <c r="AR735" s="81"/>
      <c r="AS735" s="81"/>
      <c r="AT735" s="81"/>
      <c r="AU735" s="81"/>
      <c r="AV735" s="81"/>
      <c r="AW735" s="81"/>
      <c r="AX735" s="81"/>
      <c r="AY735" s="81"/>
      <c r="AZ735" s="81"/>
      <c r="BA735" s="81"/>
      <c r="BB735" s="81"/>
    </row>
    <row r="736">
      <c r="A736" s="3"/>
      <c r="B736" s="3"/>
      <c r="C736" s="3"/>
      <c r="D736" s="3"/>
      <c r="E736" s="3"/>
      <c r="F736" s="3"/>
      <c r="G736" s="136"/>
      <c r="H736" s="3"/>
      <c r="I736" s="3"/>
      <c r="J736" s="1"/>
      <c r="K736" s="3"/>
      <c r="L736" s="3"/>
      <c r="M736" s="3"/>
      <c r="N736" s="70"/>
      <c r="O736" s="3"/>
      <c r="P736" s="3"/>
      <c r="Q736" s="25"/>
      <c r="R736" s="3"/>
      <c r="S736" s="1"/>
      <c r="T736" s="1"/>
      <c r="U736" s="1"/>
      <c r="V736" s="3"/>
      <c r="W736" s="1"/>
      <c r="X736" s="1"/>
      <c r="Y736" s="1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81"/>
      <c r="AN736" s="81"/>
      <c r="AO736" s="81"/>
      <c r="AP736" s="81"/>
      <c r="AQ736" s="81"/>
      <c r="AR736" s="81"/>
      <c r="AS736" s="81"/>
      <c r="AT736" s="81"/>
      <c r="AU736" s="81"/>
      <c r="AV736" s="81"/>
      <c r="AW736" s="81"/>
      <c r="AX736" s="81"/>
      <c r="AY736" s="81"/>
      <c r="AZ736" s="81"/>
      <c r="BA736" s="81"/>
      <c r="BB736" s="81"/>
    </row>
    <row r="737">
      <c r="A737" s="3"/>
      <c r="B737" s="1"/>
      <c r="C737" s="3"/>
      <c r="D737" s="1"/>
      <c r="E737" s="1"/>
      <c r="F737" s="3"/>
      <c r="G737" s="136"/>
      <c r="H737" s="3"/>
      <c r="I737" s="151"/>
      <c r="J737" s="1"/>
      <c r="K737" s="3"/>
      <c r="L737" s="3"/>
      <c r="M737" s="3"/>
      <c r="N737" s="70"/>
      <c r="O737" s="3"/>
      <c r="P737" s="3"/>
      <c r="Q737" s="25"/>
      <c r="R737" s="3"/>
      <c r="S737" s="1"/>
      <c r="T737" s="1"/>
      <c r="U737" s="1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81"/>
      <c r="AN737" s="81"/>
      <c r="AO737" s="81"/>
      <c r="AP737" s="81"/>
      <c r="AQ737" s="81"/>
      <c r="AR737" s="81"/>
      <c r="AS737" s="81"/>
      <c r="AT737" s="81"/>
      <c r="AU737" s="81"/>
      <c r="AV737" s="81"/>
      <c r="AW737" s="81"/>
      <c r="AX737" s="81"/>
      <c r="AY737" s="81"/>
      <c r="AZ737" s="81"/>
      <c r="BA737" s="81"/>
      <c r="BB737" s="81"/>
    </row>
    <row r="738">
      <c r="A738" s="3"/>
      <c r="B738" s="1"/>
      <c r="C738" s="1"/>
      <c r="D738" s="1"/>
      <c r="E738" s="1"/>
      <c r="F738" s="3"/>
      <c r="G738" s="136"/>
      <c r="H738" s="3"/>
      <c r="I738" s="157"/>
      <c r="J738" s="3"/>
      <c r="K738" s="3"/>
      <c r="L738" s="3"/>
      <c r="M738" s="3"/>
      <c r="N738" s="70"/>
      <c r="O738" s="3"/>
      <c r="P738" s="3"/>
      <c r="Q738" s="25"/>
      <c r="R738" s="3"/>
      <c r="S738" s="1"/>
      <c r="T738" s="1"/>
      <c r="U738" s="1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81"/>
      <c r="AN738" s="81"/>
      <c r="AO738" s="81"/>
      <c r="AP738" s="81"/>
      <c r="AQ738" s="81"/>
      <c r="AR738" s="81"/>
      <c r="AS738" s="81"/>
      <c r="AT738" s="81"/>
      <c r="AU738" s="81"/>
      <c r="AV738" s="81"/>
      <c r="AW738" s="81"/>
      <c r="AX738" s="81"/>
      <c r="AY738" s="81"/>
      <c r="AZ738" s="81"/>
      <c r="BA738" s="81"/>
      <c r="BB738" s="81"/>
    </row>
    <row r="739">
      <c r="A739" s="3"/>
      <c r="B739" s="3"/>
      <c r="C739" s="3"/>
      <c r="D739" s="150"/>
      <c r="E739" s="3"/>
      <c r="F739" s="3"/>
      <c r="G739" s="136"/>
      <c r="H739" s="3"/>
      <c r="I739" s="3"/>
      <c r="J739" s="3"/>
      <c r="K739" s="3"/>
      <c r="L739" s="3"/>
      <c r="M739" s="3"/>
      <c r="N739" s="105"/>
      <c r="O739" s="1"/>
      <c r="P739" s="3"/>
      <c r="Q739" s="25"/>
      <c r="R739" s="3"/>
      <c r="S739" s="1"/>
      <c r="T739" s="1"/>
      <c r="U739" s="1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81"/>
      <c r="AN739" s="81"/>
      <c r="AO739" s="81"/>
      <c r="AP739" s="81"/>
      <c r="AQ739" s="81"/>
      <c r="AR739" s="81"/>
      <c r="AS739" s="81"/>
      <c r="AT739" s="81"/>
      <c r="AU739" s="81"/>
      <c r="AV739" s="81"/>
      <c r="AW739" s="81"/>
      <c r="AX739" s="81"/>
      <c r="AY739" s="81"/>
      <c r="AZ739" s="81"/>
      <c r="BA739" s="81"/>
      <c r="BB739" s="81"/>
    </row>
    <row r="740">
      <c r="A740" s="3"/>
      <c r="B740" s="3"/>
      <c r="C740" s="3"/>
      <c r="D740" s="3"/>
      <c r="E740" s="3"/>
      <c r="F740" s="3"/>
      <c r="G740" s="136"/>
      <c r="H740" s="3"/>
      <c r="I740" s="3"/>
      <c r="J740" s="1"/>
      <c r="K740" s="3"/>
      <c r="L740" s="3"/>
      <c r="M740" s="3"/>
      <c r="N740" s="70"/>
      <c r="O740" s="3"/>
      <c r="P740" s="3"/>
      <c r="Q740" s="25"/>
      <c r="R740" s="3"/>
      <c r="S740" s="1"/>
      <c r="T740" s="1"/>
      <c r="U740" s="1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81"/>
      <c r="AN740" s="81"/>
      <c r="AO740" s="81"/>
      <c r="AP740" s="81"/>
      <c r="AQ740" s="81"/>
      <c r="AR740" s="81"/>
      <c r="AS740" s="81"/>
      <c r="AT740" s="81"/>
      <c r="AU740" s="81"/>
      <c r="AV740" s="81"/>
      <c r="AW740" s="81"/>
      <c r="AX740" s="81"/>
      <c r="AY740" s="81"/>
      <c r="AZ740" s="81"/>
      <c r="BA740" s="81"/>
      <c r="BB740" s="81"/>
    </row>
    <row r="741">
      <c r="A741" s="3"/>
      <c r="B741" s="3"/>
      <c r="C741" s="3"/>
      <c r="D741" s="3"/>
      <c r="E741" s="3"/>
      <c r="F741" s="3"/>
      <c r="G741" s="136"/>
      <c r="H741" s="3"/>
      <c r="I741" s="3"/>
      <c r="J741" s="3"/>
      <c r="K741" s="3"/>
      <c r="L741" s="3"/>
      <c r="M741" s="3"/>
      <c r="N741" s="70"/>
      <c r="O741" s="3"/>
      <c r="P741" s="3"/>
      <c r="Q741" s="25"/>
      <c r="R741" s="3"/>
      <c r="S741" s="1"/>
      <c r="T741" s="1"/>
      <c r="U741" s="1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81"/>
      <c r="AN741" s="81"/>
      <c r="AO741" s="81"/>
      <c r="AP741" s="81"/>
      <c r="AQ741" s="81"/>
      <c r="AR741" s="81"/>
      <c r="AS741" s="81"/>
      <c r="AT741" s="81"/>
      <c r="AU741" s="81"/>
      <c r="AV741" s="81"/>
      <c r="AW741" s="81"/>
      <c r="AX741" s="81"/>
      <c r="AY741" s="81"/>
      <c r="AZ741" s="81"/>
      <c r="BA741" s="81"/>
      <c r="BB741" s="81"/>
    </row>
    <row r="742">
      <c r="A742" s="3"/>
      <c r="B742" s="3"/>
      <c r="C742" s="3"/>
      <c r="D742" s="3"/>
      <c r="E742" s="3"/>
      <c r="F742" s="3"/>
      <c r="G742" s="136"/>
      <c r="H742" s="3"/>
      <c r="I742" s="3"/>
      <c r="J742" s="1"/>
      <c r="K742" s="3"/>
      <c r="L742" s="3"/>
      <c r="M742" s="3"/>
      <c r="N742" s="70"/>
      <c r="O742" s="3"/>
      <c r="P742" s="3"/>
      <c r="Q742" s="25"/>
      <c r="R742" s="1"/>
      <c r="S742" s="1"/>
      <c r="T742" s="1"/>
      <c r="U742" s="1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81"/>
      <c r="AN742" s="81"/>
      <c r="AO742" s="81"/>
      <c r="AP742" s="81"/>
      <c r="AQ742" s="81"/>
      <c r="AR742" s="81"/>
      <c r="AS742" s="81"/>
      <c r="AT742" s="81"/>
      <c r="AU742" s="81"/>
      <c r="AV742" s="81"/>
      <c r="AW742" s="81"/>
      <c r="AX742" s="81"/>
      <c r="AY742" s="81"/>
      <c r="AZ742" s="81"/>
      <c r="BA742" s="81"/>
      <c r="BB742" s="81"/>
    </row>
    <row r="743">
      <c r="A743" s="3"/>
      <c r="B743" s="3"/>
      <c r="C743" s="3"/>
      <c r="D743" s="3"/>
      <c r="E743" s="3"/>
      <c r="F743" s="3"/>
      <c r="G743" s="136"/>
      <c r="H743" s="3"/>
      <c r="I743" s="1"/>
      <c r="J743" s="1"/>
      <c r="K743" s="3"/>
      <c r="L743" s="3"/>
      <c r="M743" s="3"/>
      <c r="N743" s="70"/>
      <c r="O743" s="3"/>
      <c r="P743" s="3"/>
      <c r="Q743" s="25"/>
      <c r="R743" s="1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81"/>
      <c r="AN743" s="81"/>
      <c r="AO743" s="81"/>
      <c r="AP743" s="81"/>
      <c r="AQ743" s="81"/>
      <c r="AR743" s="81"/>
      <c r="AS743" s="81"/>
      <c r="AT743" s="81"/>
      <c r="AU743" s="81"/>
      <c r="AV743" s="81"/>
      <c r="AW743" s="81"/>
      <c r="AX743" s="81"/>
      <c r="AY743" s="81"/>
      <c r="AZ743" s="81"/>
      <c r="BA743" s="81"/>
      <c r="BB743" s="81"/>
    </row>
    <row r="744">
      <c r="A744" s="1"/>
      <c r="B744" s="3"/>
      <c r="C744" s="3"/>
      <c r="D744" s="3"/>
      <c r="E744" s="3"/>
      <c r="F744" s="3"/>
      <c r="G744" s="136"/>
      <c r="H744" s="3"/>
      <c r="I744" s="1"/>
      <c r="J744" s="1"/>
      <c r="K744" s="3"/>
      <c r="L744" s="3"/>
      <c r="M744" s="3"/>
      <c r="N744" s="105"/>
      <c r="O744" s="1"/>
      <c r="P744" s="3"/>
      <c r="Q744" s="25"/>
      <c r="R744" s="1"/>
      <c r="S744" s="1"/>
      <c r="T744" s="1"/>
      <c r="U744" s="1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81"/>
      <c r="AN744" s="81"/>
      <c r="AO744" s="81"/>
      <c r="AP744" s="81"/>
      <c r="AQ744" s="81"/>
      <c r="AR744" s="81"/>
      <c r="AS744" s="81"/>
      <c r="AT744" s="81"/>
      <c r="AU744" s="81"/>
      <c r="AV744" s="81"/>
      <c r="AW744" s="81"/>
      <c r="AX744" s="81"/>
      <c r="AY744" s="81"/>
      <c r="AZ744" s="81"/>
      <c r="BA744" s="81"/>
      <c r="BB744" s="81"/>
    </row>
    <row r="745">
      <c r="A745" s="1"/>
      <c r="B745" s="3"/>
      <c r="C745" s="3"/>
      <c r="D745" s="3"/>
      <c r="E745" s="70"/>
      <c r="F745" s="3"/>
      <c r="G745" s="136"/>
      <c r="H745" s="3"/>
      <c r="I745" s="3"/>
      <c r="J745" s="1"/>
      <c r="K745" s="3"/>
      <c r="L745" s="3"/>
      <c r="M745" s="3"/>
      <c r="N745" s="70"/>
      <c r="O745" s="3"/>
      <c r="P745" s="3"/>
      <c r="Q745" s="25"/>
      <c r="R745" s="1"/>
      <c r="S745" s="1"/>
      <c r="T745" s="1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81"/>
      <c r="AN745" s="81"/>
      <c r="AO745" s="81"/>
      <c r="AP745" s="81"/>
      <c r="AQ745" s="81"/>
      <c r="AR745" s="81"/>
      <c r="AS745" s="81"/>
      <c r="AT745" s="81"/>
      <c r="AU745" s="81"/>
      <c r="AV745" s="81"/>
      <c r="AW745" s="81"/>
      <c r="AX745" s="81"/>
      <c r="AY745" s="81"/>
      <c r="AZ745" s="81"/>
      <c r="BA745" s="81"/>
      <c r="BB745" s="81"/>
    </row>
    <row r="746">
      <c r="A746" s="3"/>
      <c r="B746" s="3"/>
      <c r="C746" s="3"/>
      <c r="D746" s="3"/>
      <c r="E746" s="70"/>
      <c r="F746" s="3"/>
      <c r="G746" s="136"/>
      <c r="H746" s="3"/>
      <c r="I746" s="3"/>
      <c r="J746" s="115"/>
      <c r="K746" s="3"/>
      <c r="L746" s="3"/>
      <c r="M746" s="3"/>
      <c r="N746" s="70"/>
      <c r="O746" s="3"/>
      <c r="P746" s="3"/>
      <c r="Q746" s="25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1"/>
      <c r="AH746" s="3"/>
      <c r="AI746" s="1"/>
      <c r="AJ746" s="3"/>
      <c r="AK746" s="1"/>
      <c r="AL746" s="1"/>
      <c r="AM746" s="81"/>
      <c r="AN746" s="81"/>
      <c r="AO746" s="81"/>
      <c r="AP746" s="81"/>
      <c r="AQ746" s="81"/>
      <c r="AR746" s="81"/>
      <c r="AS746" s="81"/>
      <c r="AT746" s="81"/>
      <c r="AU746" s="81"/>
      <c r="AV746" s="81"/>
      <c r="AW746" s="81"/>
      <c r="AX746" s="81"/>
      <c r="AY746" s="81"/>
      <c r="AZ746" s="81"/>
      <c r="BA746" s="81"/>
      <c r="BB746" s="81"/>
    </row>
    <row r="747">
      <c r="A747" s="3"/>
      <c r="B747" s="3"/>
      <c r="C747" s="3"/>
      <c r="D747" s="3"/>
      <c r="E747" s="3"/>
      <c r="F747" s="3"/>
      <c r="G747" s="136"/>
      <c r="H747" s="3"/>
      <c r="I747" s="3"/>
      <c r="J747" s="1"/>
      <c r="K747" s="3"/>
      <c r="L747" s="3"/>
      <c r="M747" s="3"/>
      <c r="N747" s="70"/>
      <c r="O747" s="3"/>
      <c r="P747" s="3"/>
      <c r="Q747" s="25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81"/>
      <c r="AN747" s="81"/>
      <c r="AO747" s="81"/>
      <c r="AP747" s="81"/>
      <c r="AQ747" s="81"/>
      <c r="AR747" s="81"/>
      <c r="AS747" s="81"/>
      <c r="AT747" s="81"/>
      <c r="AU747" s="81"/>
      <c r="AV747" s="81"/>
      <c r="AW747" s="81"/>
      <c r="AX747" s="81"/>
      <c r="AY747" s="81"/>
      <c r="AZ747" s="81"/>
      <c r="BA747" s="81"/>
      <c r="BB747" s="81"/>
    </row>
    <row r="748">
      <c r="A748" s="3"/>
      <c r="B748" s="3"/>
      <c r="C748" s="3"/>
      <c r="D748" s="3"/>
      <c r="E748" s="3"/>
      <c r="F748" s="3"/>
      <c r="G748" s="136"/>
      <c r="H748" s="3"/>
      <c r="I748" s="3"/>
      <c r="J748" s="1"/>
      <c r="K748" s="3"/>
      <c r="L748" s="3"/>
      <c r="M748" s="3"/>
      <c r="N748" s="70"/>
      <c r="O748" s="3"/>
      <c r="P748" s="3"/>
      <c r="Q748" s="25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81"/>
      <c r="AN748" s="81"/>
      <c r="AO748" s="81"/>
      <c r="AP748" s="81"/>
      <c r="AQ748" s="81"/>
      <c r="AR748" s="81"/>
      <c r="AS748" s="81"/>
      <c r="AT748" s="81"/>
      <c r="AU748" s="81"/>
      <c r="AV748" s="81"/>
      <c r="AW748" s="81"/>
      <c r="AX748" s="81"/>
      <c r="AY748" s="81"/>
      <c r="AZ748" s="81"/>
      <c r="BA748" s="81"/>
      <c r="BB748" s="81"/>
    </row>
    <row r="749">
      <c r="A749" s="1"/>
      <c r="B749" s="3"/>
      <c r="C749" s="3"/>
      <c r="D749" s="3"/>
      <c r="E749" s="3"/>
      <c r="F749" s="3"/>
      <c r="G749" s="136"/>
      <c r="H749" s="3"/>
      <c r="I749" s="3"/>
      <c r="J749" s="1"/>
      <c r="K749" s="3"/>
      <c r="L749" s="3"/>
      <c r="M749" s="3"/>
      <c r="N749" s="70"/>
      <c r="O749" s="3"/>
      <c r="P749" s="3"/>
      <c r="Q749" s="25"/>
      <c r="R749" s="1"/>
      <c r="S749" s="1"/>
      <c r="T749" s="1"/>
      <c r="U749" s="1"/>
      <c r="V749" s="3"/>
      <c r="W749" s="1"/>
      <c r="X749" s="1"/>
      <c r="Y749" s="1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81"/>
      <c r="AN749" s="81"/>
      <c r="AO749" s="81"/>
      <c r="AP749" s="81"/>
      <c r="AQ749" s="81"/>
      <c r="AR749" s="81"/>
      <c r="AS749" s="81"/>
      <c r="AT749" s="81"/>
      <c r="AU749" s="81"/>
      <c r="AV749" s="81"/>
      <c r="AW749" s="81"/>
      <c r="AX749" s="81"/>
      <c r="AY749" s="81"/>
      <c r="AZ749" s="81"/>
      <c r="BA749" s="81"/>
      <c r="BB749" s="81"/>
    </row>
    <row r="750">
      <c r="A750" s="3"/>
      <c r="B750" s="3"/>
      <c r="C750" s="3"/>
      <c r="D750" s="3"/>
      <c r="E750" s="3"/>
      <c r="F750" s="3"/>
      <c r="G750" s="136"/>
      <c r="H750" s="3"/>
      <c r="I750" s="3"/>
      <c r="J750" s="1"/>
      <c r="K750" s="3"/>
      <c r="L750" s="3"/>
      <c r="M750" s="3"/>
      <c r="N750" s="70"/>
      <c r="O750" s="3"/>
      <c r="P750" s="3"/>
      <c r="Q750" s="25"/>
      <c r="R750" s="1"/>
      <c r="S750" s="1"/>
      <c r="T750" s="1"/>
      <c r="U750" s="1"/>
      <c r="V750" s="3"/>
      <c r="W750" s="1"/>
      <c r="X750" s="1"/>
      <c r="Y750" s="1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81"/>
      <c r="AN750" s="81"/>
      <c r="AO750" s="81"/>
      <c r="AP750" s="81"/>
      <c r="AQ750" s="81"/>
      <c r="AR750" s="81"/>
      <c r="AS750" s="81"/>
      <c r="AT750" s="81"/>
      <c r="AU750" s="81"/>
      <c r="AV750" s="81"/>
      <c r="AW750" s="81"/>
      <c r="AX750" s="81"/>
      <c r="AY750" s="81"/>
      <c r="AZ750" s="81"/>
      <c r="BA750" s="81"/>
      <c r="BB750" s="81"/>
    </row>
    <row r="751">
      <c r="A751" s="3"/>
      <c r="B751" s="3"/>
      <c r="C751" s="3"/>
      <c r="D751" s="3"/>
      <c r="E751" s="3"/>
      <c r="F751" s="3"/>
      <c r="G751" s="136"/>
      <c r="H751" s="3"/>
      <c r="I751" s="3"/>
      <c r="J751" s="3"/>
      <c r="K751" s="3"/>
      <c r="L751" s="3"/>
      <c r="M751" s="3"/>
      <c r="N751" s="70"/>
      <c r="O751" s="3"/>
      <c r="P751" s="3"/>
      <c r="Q751" s="25"/>
      <c r="R751" s="3"/>
      <c r="S751" s="1"/>
      <c r="T751" s="1"/>
      <c r="U751" s="1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81"/>
      <c r="AN751" s="81"/>
      <c r="AO751" s="81"/>
      <c r="AP751" s="81"/>
      <c r="AQ751" s="81"/>
      <c r="AR751" s="81"/>
      <c r="AS751" s="81"/>
      <c r="AT751" s="81"/>
      <c r="AU751" s="81"/>
      <c r="AV751" s="81"/>
      <c r="AW751" s="81"/>
      <c r="AX751" s="81"/>
      <c r="AY751" s="81"/>
      <c r="AZ751" s="81"/>
      <c r="BA751" s="81"/>
      <c r="BB751" s="81"/>
    </row>
    <row r="752">
      <c r="A752" s="3"/>
      <c r="B752" s="3"/>
      <c r="C752" s="3"/>
      <c r="D752" s="3"/>
      <c r="E752" s="3"/>
      <c r="F752" s="3"/>
      <c r="G752" s="136"/>
      <c r="H752" s="3"/>
      <c r="I752" s="3"/>
      <c r="J752" s="3"/>
      <c r="K752" s="3"/>
      <c r="L752" s="3"/>
      <c r="M752" s="3"/>
      <c r="N752" s="70"/>
      <c r="O752" s="3"/>
      <c r="P752" s="3"/>
      <c r="Q752" s="142"/>
      <c r="R752" s="3"/>
      <c r="S752" s="3"/>
      <c r="T752" s="3"/>
      <c r="U752" s="1"/>
      <c r="V752" s="3"/>
      <c r="W752" s="3"/>
      <c r="X752" s="3"/>
      <c r="Y752" s="1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81"/>
      <c r="AN752" s="81"/>
      <c r="AO752" s="81"/>
      <c r="AP752" s="81"/>
      <c r="AQ752" s="81"/>
      <c r="AR752" s="81"/>
      <c r="AS752" s="81"/>
      <c r="AT752" s="81"/>
      <c r="AU752" s="81"/>
      <c r="AV752" s="81"/>
      <c r="AW752" s="81"/>
      <c r="AX752" s="81"/>
      <c r="AY752" s="81"/>
      <c r="AZ752" s="81"/>
      <c r="BA752" s="81"/>
      <c r="BB752" s="81"/>
    </row>
    <row r="753">
      <c r="A753" s="3"/>
      <c r="B753" s="3"/>
      <c r="C753" s="3"/>
      <c r="D753" s="3"/>
      <c r="E753" s="3"/>
      <c r="F753" s="3"/>
      <c r="G753" s="136"/>
      <c r="H753" s="3"/>
      <c r="I753" s="3"/>
      <c r="J753" s="3"/>
      <c r="K753" s="3"/>
      <c r="L753" s="3"/>
      <c r="M753" s="3"/>
      <c r="N753" s="70"/>
      <c r="O753" s="3"/>
      <c r="P753" s="3"/>
      <c r="Q753" s="25"/>
      <c r="R753" s="3"/>
      <c r="S753" s="3"/>
      <c r="T753" s="158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81"/>
      <c r="AN753" s="81"/>
      <c r="AO753" s="81"/>
      <c r="AP753" s="81"/>
      <c r="AQ753" s="81"/>
      <c r="AR753" s="81"/>
      <c r="AS753" s="81"/>
      <c r="AT753" s="81"/>
      <c r="AU753" s="81"/>
      <c r="AV753" s="81"/>
      <c r="AW753" s="81"/>
      <c r="AX753" s="81"/>
      <c r="AY753" s="81"/>
      <c r="AZ753" s="81"/>
      <c r="BA753" s="81"/>
      <c r="BB753" s="81"/>
    </row>
    <row r="754">
      <c r="A754" s="1"/>
      <c r="B754" s="3"/>
      <c r="C754" s="3"/>
      <c r="D754" s="3"/>
      <c r="E754" s="3"/>
      <c r="F754" s="3"/>
      <c r="G754" s="136"/>
      <c r="H754" s="3"/>
      <c r="I754" s="3"/>
      <c r="J754" s="1"/>
      <c r="K754" s="3"/>
      <c r="L754" s="3"/>
      <c r="M754" s="3"/>
      <c r="N754" s="70"/>
      <c r="O754" s="3"/>
      <c r="P754" s="3"/>
      <c r="Q754" s="25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81"/>
      <c r="AN754" s="81"/>
      <c r="AO754" s="81"/>
      <c r="AP754" s="81"/>
      <c r="AQ754" s="81"/>
      <c r="AR754" s="81"/>
      <c r="AS754" s="81"/>
      <c r="AT754" s="81"/>
      <c r="AU754" s="81"/>
      <c r="AV754" s="81"/>
      <c r="AW754" s="81"/>
      <c r="AX754" s="81"/>
      <c r="AY754" s="81"/>
      <c r="AZ754" s="81"/>
      <c r="BA754" s="81"/>
      <c r="BB754" s="81"/>
    </row>
    <row r="755">
      <c r="A755" s="3"/>
      <c r="B755" s="3"/>
      <c r="C755" s="3"/>
      <c r="D755" s="3"/>
      <c r="E755" s="3"/>
      <c r="F755" s="3"/>
      <c r="G755" s="136"/>
      <c r="H755" s="3"/>
      <c r="I755" s="3"/>
      <c r="J755" s="1"/>
      <c r="K755" s="3"/>
      <c r="L755" s="3"/>
      <c r="M755" s="3"/>
      <c r="N755" s="105"/>
      <c r="O755" s="3"/>
      <c r="P755" s="3"/>
      <c r="Q755" s="25"/>
      <c r="R755" s="1"/>
      <c r="S755" s="1"/>
      <c r="T755" s="1"/>
      <c r="U755" s="1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107"/>
      <c r="AN755" s="81"/>
      <c r="AO755" s="81"/>
      <c r="AP755" s="81"/>
      <c r="AQ755" s="81"/>
      <c r="AR755" s="81"/>
      <c r="AS755" s="81"/>
      <c r="AT755" s="81"/>
      <c r="AU755" s="81"/>
      <c r="AV755" s="81"/>
      <c r="AW755" s="81"/>
      <c r="AX755" s="81"/>
      <c r="AY755" s="81"/>
      <c r="AZ755" s="81"/>
      <c r="BA755" s="81"/>
      <c r="BB755" s="81"/>
    </row>
    <row r="756">
      <c r="A756" s="3"/>
      <c r="B756" s="3"/>
      <c r="C756" s="3"/>
      <c r="D756" s="3"/>
      <c r="E756" s="3"/>
      <c r="F756" s="3"/>
      <c r="G756" s="136"/>
      <c r="H756" s="3"/>
      <c r="I756" s="3"/>
      <c r="J756" s="1"/>
      <c r="K756" s="3"/>
      <c r="L756" s="3"/>
      <c r="M756" s="3"/>
      <c r="N756" s="70"/>
      <c r="O756" s="3"/>
      <c r="P756" s="3"/>
      <c r="Q756" s="25"/>
      <c r="R756" s="3"/>
      <c r="S756" s="3"/>
      <c r="T756" s="1"/>
      <c r="U756" s="1"/>
      <c r="V756" s="3"/>
      <c r="W756" s="3"/>
      <c r="X756" s="3"/>
      <c r="Y756" s="1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81"/>
      <c r="AN756" s="81"/>
      <c r="AO756" s="81"/>
      <c r="AP756" s="81"/>
      <c r="AQ756" s="81"/>
      <c r="AR756" s="81"/>
      <c r="AS756" s="81"/>
      <c r="AT756" s="81"/>
      <c r="AU756" s="81"/>
      <c r="AV756" s="81"/>
      <c r="AW756" s="81"/>
      <c r="AX756" s="81"/>
      <c r="AY756" s="81"/>
      <c r="AZ756" s="81"/>
      <c r="BA756" s="81"/>
      <c r="BB756" s="81"/>
    </row>
    <row r="757">
      <c r="A757" s="1"/>
      <c r="B757" s="3"/>
      <c r="C757" s="3"/>
      <c r="D757" s="3"/>
      <c r="E757" s="3"/>
      <c r="F757" s="3"/>
      <c r="G757" s="136"/>
      <c r="H757" s="3"/>
      <c r="I757" s="3"/>
      <c r="J757" s="3"/>
      <c r="K757" s="3"/>
      <c r="L757" s="3"/>
      <c r="M757" s="3"/>
      <c r="N757" s="70"/>
      <c r="O757" s="3"/>
      <c r="P757" s="3"/>
      <c r="Q757" s="25"/>
      <c r="R757" s="3"/>
      <c r="S757" s="1"/>
      <c r="T757" s="1"/>
      <c r="U757" s="1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81"/>
      <c r="AN757" s="81"/>
      <c r="AO757" s="81"/>
      <c r="AP757" s="81"/>
      <c r="AQ757" s="81"/>
      <c r="AR757" s="81"/>
      <c r="AS757" s="81"/>
      <c r="AT757" s="81"/>
      <c r="AU757" s="81"/>
      <c r="AV757" s="81"/>
      <c r="AW757" s="81"/>
      <c r="AX757" s="81"/>
      <c r="AY757" s="81"/>
      <c r="AZ757" s="81"/>
      <c r="BA757" s="81"/>
      <c r="BB757" s="81"/>
    </row>
    <row r="758">
      <c r="A758" s="3"/>
      <c r="B758" s="3"/>
      <c r="C758" s="3"/>
      <c r="D758" s="3"/>
      <c r="E758" s="3"/>
      <c r="F758" s="3"/>
      <c r="G758" s="136"/>
      <c r="H758" s="3"/>
      <c r="I758" s="3"/>
      <c r="J758" s="1"/>
      <c r="K758" s="3"/>
      <c r="L758" s="3"/>
      <c r="M758" s="3"/>
      <c r="N758" s="70"/>
      <c r="O758" s="3"/>
      <c r="P758" s="3"/>
      <c r="Q758" s="25"/>
      <c r="R758" s="3"/>
      <c r="S758" s="1"/>
      <c r="T758" s="1"/>
      <c r="U758" s="1"/>
      <c r="V758" s="3"/>
      <c r="W758" s="3"/>
      <c r="X758" s="1"/>
      <c r="Y758" s="1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81"/>
      <c r="AN758" s="81"/>
      <c r="AO758" s="81"/>
      <c r="AP758" s="81"/>
      <c r="AQ758" s="81"/>
      <c r="AR758" s="81"/>
      <c r="AS758" s="81"/>
      <c r="AT758" s="81"/>
      <c r="AU758" s="81"/>
      <c r="AV758" s="81"/>
      <c r="AW758" s="81"/>
      <c r="AX758" s="81"/>
      <c r="AY758" s="81"/>
      <c r="AZ758" s="81"/>
      <c r="BA758" s="81"/>
      <c r="BB758" s="81"/>
    </row>
    <row r="759">
      <c r="A759" s="3"/>
      <c r="B759" s="3"/>
      <c r="C759" s="3"/>
      <c r="D759" s="141"/>
      <c r="E759" s="3"/>
      <c r="F759" s="3"/>
      <c r="G759" s="136"/>
      <c r="H759" s="3"/>
      <c r="I759" s="3"/>
      <c r="J759" s="1"/>
      <c r="K759" s="3"/>
      <c r="L759" s="3"/>
      <c r="M759" s="3"/>
      <c r="N759" s="70"/>
      <c r="O759" s="3"/>
      <c r="P759" s="3"/>
      <c r="Q759" s="25"/>
      <c r="R759" s="1"/>
      <c r="S759" s="1"/>
      <c r="T759" s="1"/>
      <c r="U759" s="1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81"/>
      <c r="AN759" s="81"/>
      <c r="AO759" s="81"/>
      <c r="AP759" s="81"/>
      <c r="AQ759" s="81"/>
      <c r="AR759" s="81"/>
      <c r="AS759" s="81"/>
      <c r="AT759" s="81"/>
      <c r="AU759" s="81"/>
      <c r="AV759" s="81"/>
      <c r="AW759" s="81"/>
      <c r="AX759" s="81"/>
      <c r="AY759" s="81"/>
      <c r="AZ759" s="81"/>
      <c r="BA759" s="81"/>
      <c r="BB759" s="81"/>
    </row>
    <row r="760">
      <c r="A760" s="3"/>
      <c r="B760" s="3"/>
      <c r="C760" s="3"/>
      <c r="D760" s="3"/>
      <c r="E760" s="3"/>
      <c r="F760" s="3"/>
      <c r="G760" s="136"/>
      <c r="H760" s="3"/>
      <c r="I760" s="1"/>
      <c r="J760" s="1"/>
      <c r="K760" s="3"/>
      <c r="L760" s="3"/>
      <c r="M760" s="3"/>
      <c r="N760" s="70"/>
      <c r="O760" s="3"/>
      <c r="P760" s="3"/>
      <c r="Q760" s="25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81"/>
      <c r="AN760" s="81"/>
      <c r="AO760" s="81"/>
      <c r="AP760" s="81"/>
      <c r="AQ760" s="81"/>
      <c r="AR760" s="81"/>
      <c r="AS760" s="81"/>
      <c r="AT760" s="81"/>
      <c r="AU760" s="81"/>
      <c r="AV760" s="81"/>
      <c r="AW760" s="81"/>
      <c r="AX760" s="81"/>
      <c r="AY760" s="81"/>
      <c r="AZ760" s="81"/>
      <c r="BA760" s="81"/>
      <c r="BB760" s="81"/>
    </row>
    <row r="761">
      <c r="A761" s="3"/>
      <c r="B761" s="1"/>
      <c r="C761" s="3"/>
      <c r="D761" s="1"/>
      <c r="E761" s="3"/>
      <c r="F761" s="3"/>
      <c r="G761" s="136"/>
      <c r="H761" s="3"/>
      <c r="I761" s="3"/>
      <c r="J761" s="1"/>
      <c r="K761" s="3"/>
      <c r="L761" s="3"/>
      <c r="M761" s="3"/>
      <c r="N761" s="70"/>
      <c r="O761" s="3"/>
      <c r="P761" s="3"/>
      <c r="Q761" s="25"/>
      <c r="R761" s="1"/>
      <c r="S761" s="1"/>
      <c r="T761" s="1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81"/>
      <c r="AN761" s="81"/>
      <c r="AO761" s="81"/>
      <c r="AP761" s="81"/>
      <c r="AQ761" s="81"/>
      <c r="AR761" s="81"/>
      <c r="AS761" s="81"/>
      <c r="AT761" s="81"/>
      <c r="AU761" s="81"/>
      <c r="AV761" s="81"/>
      <c r="AW761" s="81"/>
      <c r="AX761" s="81"/>
      <c r="AY761" s="81"/>
      <c r="AZ761" s="81"/>
      <c r="BA761" s="81"/>
      <c r="BB761" s="81"/>
    </row>
    <row r="762">
      <c r="A762" s="3"/>
      <c r="B762" s="3"/>
      <c r="C762" s="3"/>
      <c r="D762" s="3"/>
      <c r="E762" s="3"/>
      <c r="F762" s="3"/>
      <c r="G762" s="136"/>
      <c r="H762" s="3"/>
      <c r="I762" s="3"/>
      <c r="J762" s="1"/>
      <c r="K762" s="3"/>
      <c r="L762" s="3"/>
      <c r="M762" s="3"/>
      <c r="N762" s="70"/>
      <c r="O762" s="3"/>
      <c r="P762" s="3"/>
      <c r="Q762" s="25"/>
      <c r="R762" s="1"/>
      <c r="S762" s="1"/>
      <c r="T762" s="1"/>
      <c r="U762" s="1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81"/>
      <c r="AN762" s="81"/>
      <c r="AO762" s="81"/>
      <c r="AP762" s="81"/>
      <c r="AQ762" s="81"/>
      <c r="AR762" s="81"/>
      <c r="AS762" s="81"/>
      <c r="AT762" s="81"/>
      <c r="AU762" s="81"/>
      <c r="AV762" s="81"/>
      <c r="AW762" s="81"/>
      <c r="AX762" s="81"/>
      <c r="AY762" s="81"/>
      <c r="AZ762" s="81"/>
      <c r="BA762" s="81"/>
      <c r="BB762" s="81"/>
    </row>
    <row r="763">
      <c r="A763" s="3"/>
      <c r="B763" s="3"/>
      <c r="C763" s="3"/>
      <c r="D763" s="3"/>
      <c r="E763" s="3"/>
      <c r="F763" s="3"/>
      <c r="G763" s="136"/>
      <c r="H763" s="3"/>
      <c r="I763" s="3"/>
      <c r="J763" s="1"/>
      <c r="K763" s="3"/>
      <c r="L763" s="3"/>
      <c r="M763" s="3"/>
      <c r="N763" s="70"/>
      <c r="O763" s="3"/>
      <c r="P763" s="3"/>
      <c r="Q763" s="25"/>
      <c r="R763" s="3"/>
      <c r="S763" s="1"/>
      <c r="T763" s="1"/>
      <c r="U763" s="1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81"/>
      <c r="AN763" s="81"/>
      <c r="AO763" s="81"/>
      <c r="AP763" s="81"/>
      <c r="AQ763" s="81"/>
      <c r="AR763" s="81"/>
      <c r="AS763" s="81"/>
      <c r="AT763" s="81"/>
      <c r="AU763" s="81"/>
      <c r="AV763" s="81"/>
      <c r="AW763" s="81"/>
      <c r="AX763" s="81"/>
      <c r="AY763" s="81"/>
      <c r="AZ763" s="81"/>
      <c r="BA763" s="81"/>
      <c r="BB763" s="81"/>
    </row>
    <row r="764">
      <c r="A764" s="3"/>
      <c r="B764" s="3"/>
      <c r="C764" s="3"/>
      <c r="D764" s="3"/>
      <c r="E764" s="3"/>
      <c r="F764" s="3"/>
      <c r="G764" s="136"/>
      <c r="H764" s="3"/>
      <c r="I764" s="3"/>
      <c r="J764" s="1"/>
      <c r="K764" s="3"/>
      <c r="L764" s="3"/>
      <c r="M764" s="3"/>
      <c r="N764" s="70"/>
      <c r="O764" s="3"/>
      <c r="P764" s="3"/>
      <c r="Q764" s="25"/>
      <c r="R764" s="3"/>
      <c r="S764" s="3"/>
      <c r="T764" s="1"/>
      <c r="U764" s="1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81"/>
      <c r="AN764" s="81"/>
      <c r="AO764" s="81"/>
      <c r="AP764" s="81"/>
      <c r="AQ764" s="81"/>
      <c r="AR764" s="81"/>
      <c r="AS764" s="81"/>
      <c r="AT764" s="81"/>
      <c r="AU764" s="81"/>
      <c r="AV764" s="81"/>
      <c r="AW764" s="81"/>
      <c r="AX764" s="81"/>
      <c r="AY764" s="81"/>
      <c r="AZ764" s="81"/>
      <c r="BA764" s="81"/>
      <c r="BB764" s="81"/>
    </row>
    <row r="765">
      <c r="A765" s="3"/>
      <c r="B765" s="3"/>
      <c r="C765" s="3"/>
      <c r="D765" s="3"/>
      <c r="E765" s="3"/>
      <c r="F765" s="3"/>
      <c r="G765" s="136"/>
      <c r="H765" s="3"/>
      <c r="I765" s="3"/>
      <c r="J765" s="1"/>
      <c r="K765" s="3"/>
      <c r="L765" s="3"/>
      <c r="M765" s="3"/>
      <c r="N765" s="70"/>
      <c r="O765" s="3"/>
      <c r="P765" s="3"/>
      <c r="Q765" s="25"/>
      <c r="R765" s="3"/>
      <c r="S765" s="3"/>
      <c r="T765" s="3"/>
      <c r="U765" s="3"/>
      <c r="V765" s="3"/>
      <c r="W765" s="1"/>
      <c r="X765" s="1"/>
      <c r="Y765" s="1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81"/>
      <c r="AN765" s="81"/>
      <c r="AO765" s="81"/>
      <c r="AP765" s="81"/>
      <c r="AQ765" s="81"/>
      <c r="AR765" s="81"/>
      <c r="AS765" s="81"/>
      <c r="AT765" s="81"/>
      <c r="AU765" s="81"/>
      <c r="AV765" s="81"/>
      <c r="AW765" s="81"/>
      <c r="AX765" s="81"/>
      <c r="AY765" s="81"/>
      <c r="AZ765" s="81"/>
      <c r="BA765" s="81"/>
      <c r="BB765" s="81"/>
    </row>
    <row r="766">
      <c r="A766" s="3"/>
      <c r="B766" s="3"/>
      <c r="C766" s="3"/>
      <c r="D766" s="3"/>
      <c r="E766" s="3"/>
      <c r="F766" s="3"/>
      <c r="G766" s="136"/>
      <c r="H766" s="3"/>
      <c r="I766" s="3"/>
      <c r="J766" s="1"/>
      <c r="K766" s="3"/>
      <c r="L766" s="3"/>
      <c r="M766" s="3"/>
      <c r="N766" s="70"/>
      <c r="O766" s="3"/>
      <c r="P766" s="3"/>
      <c r="Q766" s="25"/>
      <c r="R766" s="1"/>
      <c r="S766" s="1"/>
      <c r="T766" s="1"/>
      <c r="U766" s="1"/>
      <c r="V766" s="3"/>
      <c r="W766" s="1"/>
      <c r="X766" s="1"/>
      <c r="Y766" s="1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81"/>
      <c r="AN766" s="81"/>
      <c r="AO766" s="81"/>
      <c r="AP766" s="81"/>
      <c r="AQ766" s="81"/>
      <c r="AR766" s="81"/>
      <c r="AS766" s="81"/>
      <c r="AT766" s="81"/>
      <c r="AU766" s="81"/>
      <c r="AV766" s="81"/>
      <c r="AW766" s="81"/>
      <c r="AX766" s="81"/>
      <c r="AY766" s="81"/>
      <c r="AZ766" s="81"/>
      <c r="BA766" s="81"/>
      <c r="BB766" s="81"/>
    </row>
    <row r="767">
      <c r="A767" s="3"/>
      <c r="B767" s="3"/>
      <c r="C767" s="3"/>
      <c r="D767" s="3"/>
      <c r="E767" s="3"/>
      <c r="F767" s="1"/>
      <c r="G767" s="136"/>
      <c r="H767" s="3"/>
      <c r="I767" s="1"/>
      <c r="J767" s="1"/>
      <c r="K767" s="3"/>
      <c r="L767" s="3"/>
      <c r="M767" s="3"/>
      <c r="N767" s="70"/>
      <c r="O767" s="3"/>
      <c r="P767" s="3"/>
      <c r="Q767" s="25"/>
      <c r="R767" s="1"/>
      <c r="S767" s="1"/>
      <c r="T767" s="1"/>
      <c r="U767" s="1"/>
      <c r="V767" s="1"/>
      <c r="W767" s="1"/>
      <c r="X767" s="1"/>
      <c r="Y767" s="1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81"/>
      <c r="AN767" s="81"/>
      <c r="AO767" s="81"/>
      <c r="AP767" s="81"/>
      <c r="AQ767" s="81"/>
      <c r="AR767" s="81"/>
      <c r="AS767" s="81"/>
      <c r="AT767" s="81"/>
      <c r="AU767" s="81"/>
      <c r="AV767" s="81"/>
      <c r="AW767" s="81"/>
      <c r="AX767" s="81"/>
      <c r="AY767" s="81"/>
      <c r="AZ767" s="81"/>
      <c r="BA767" s="81"/>
      <c r="BB767" s="81"/>
    </row>
    <row r="768">
      <c r="A768" s="3"/>
      <c r="B768" s="3"/>
      <c r="C768" s="3"/>
      <c r="D768" s="3"/>
      <c r="E768" s="3"/>
      <c r="F768" s="3"/>
      <c r="G768" s="136"/>
      <c r="H768" s="3"/>
      <c r="I768" s="1"/>
      <c r="J768" s="1"/>
      <c r="K768" s="3"/>
      <c r="L768" s="3"/>
      <c r="M768" s="3"/>
      <c r="N768" s="70"/>
      <c r="O768" s="3"/>
      <c r="P768" s="3"/>
      <c r="Q768" s="25"/>
      <c r="R768" s="1"/>
      <c r="S768" s="1"/>
      <c r="T768" s="1"/>
      <c r="U768" s="1"/>
      <c r="V768" s="1"/>
      <c r="W768" s="1"/>
      <c r="X768" s="1"/>
      <c r="Y768" s="1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81"/>
      <c r="AN768" s="81"/>
      <c r="AO768" s="81"/>
      <c r="AP768" s="81"/>
      <c r="AQ768" s="81"/>
      <c r="AR768" s="81"/>
      <c r="AS768" s="81"/>
      <c r="AT768" s="81"/>
      <c r="AU768" s="81"/>
      <c r="AV768" s="81"/>
      <c r="AW768" s="81"/>
      <c r="AX768" s="81"/>
      <c r="AY768" s="81"/>
      <c r="AZ768" s="81"/>
      <c r="BA768" s="81"/>
      <c r="BB768" s="81"/>
    </row>
    <row r="769">
      <c r="A769" s="3"/>
      <c r="B769" s="3"/>
      <c r="C769" s="3"/>
      <c r="D769" s="3"/>
      <c r="E769" s="3"/>
      <c r="F769" s="1"/>
      <c r="G769" s="136"/>
      <c r="H769" s="3"/>
      <c r="I769" s="3"/>
      <c r="J769" s="1"/>
      <c r="K769" s="3"/>
      <c r="L769" s="3"/>
      <c r="M769" s="3"/>
      <c r="N769" s="70"/>
      <c r="O769" s="3"/>
      <c r="P769" s="3"/>
      <c r="Q769" s="25"/>
      <c r="R769" s="1"/>
      <c r="S769" s="1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81"/>
      <c r="AN769" s="81"/>
      <c r="AO769" s="81"/>
      <c r="AP769" s="81"/>
      <c r="AQ769" s="81"/>
      <c r="AR769" s="81"/>
      <c r="AS769" s="81"/>
      <c r="AT769" s="81"/>
      <c r="AU769" s="81"/>
      <c r="AV769" s="81"/>
      <c r="AW769" s="81"/>
      <c r="AX769" s="81"/>
      <c r="AY769" s="81"/>
      <c r="AZ769" s="81"/>
      <c r="BA769" s="81"/>
      <c r="BB769" s="81"/>
    </row>
    <row r="770">
      <c r="A770" s="1"/>
      <c r="B770" s="3"/>
      <c r="C770" s="3"/>
      <c r="D770" s="3"/>
      <c r="E770" s="3"/>
      <c r="F770" s="3"/>
      <c r="G770" s="136"/>
      <c r="H770" s="3"/>
      <c r="I770" s="1"/>
      <c r="J770" s="1"/>
      <c r="K770" s="3"/>
      <c r="L770" s="3"/>
      <c r="M770" s="3"/>
      <c r="N770" s="70"/>
      <c r="O770" s="3"/>
      <c r="P770" s="3"/>
      <c r="Q770" s="25"/>
      <c r="R770" s="1"/>
      <c r="S770" s="1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107"/>
      <c r="AN770" s="107"/>
      <c r="AO770" s="81"/>
      <c r="AP770" s="81"/>
      <c r="AQ770" s="81"/>
      <c r="AR770" s="81"/>
      <c r="AS770" s="81"/>
      <c r="AT770" s="81"/>
      <c r="AU770" s="81"/>
      <c r="AV770" s="81"/>
      <c r="AW770" s="81"/>
      <c r="AX770" s="81"/>
      <c r="AY770" s="81"/>
      <c r="AZ770" s="81"/>
      <c r="BA770" s="81"/>
      <c r="BB770" s="81"/>
    </row>
    <row r="771">
      <c r="A771" s="3"/>
      <c r="B771" s="3"/>
      <c r="C771" s="3"/>
      <c r="D771" s="126"/>
      <c r="E771" s="3"/>
      <c r="F771" s="3"/>
      <c r="G771" s="136"/>
      <c r="H771" s="3"/>
      <c r="I771" s="3"/>
      <c r="J771" s="1"/>
      <c r="K771" s="3"/>
      <c r="L771" s="3"/>
      <c r="M771" s="3"/>
      <c r="N771" s="70"/>
      <c r="O771" s="3"/>
      <c r="P771" s="3"/>
      <c r="Q771" s="25"/>
      <c r="R771" s="3"/>
      <c r="S771" s="1"/>
      <c r="T771" s="1"/>
      <c r="U771" s="1"/>
      <c r="V771" s="3"/>
      <c r="W771" s="1"/>
      <c r="X771" s="1"/>
      <c r="Y771" s="1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81"/>
      <c r="AN771" s="81"/>
      <c r="AO771" s="81"/>
      <c r="AP771" s="81"/>
      <c r="AQ771" s="81"/>
      <c r="AR771" s="81"/>
      <c r="AS771" s="81"/>
      <c r="AT771" s="81"/>
      <c r="AU771" s="81"/>
      <c r="AV771" s="81"/>
      <c r="AW771" s="81"/>
      <c r="AX771" s="81"/>
      <c r="AY771" s="81"/>
      <c r="AZ771" s="81"/>
      <c r="BA771" s="81"/>
      <c r="BB771" s="81"/>
    </row>
    <row r="772">
      <c r="A772" s="1"/>
      <c r="B772" s="3"/>
      <c r="C772" s="3"/>
      <c r="D772" s="126"/>
      <c r="E772" s="3"/>
      <c r="F772" s="3"/>
      <c r="G772" s="136"/>
      <c r="H772" s="3"/>
      <c r="I772" s="3"/>
      <c r="J772" s="1"/>
      <c r="K772" s="3"/>
      <c r="L772" s="3"/>
      <c r="M772" s="3"/>
      <c r="N772" s="105"/>
      <c r="O772" s="1"/>
      <c r="P772" s="3"/>
      <c r="Q772" s="25"/>
      <c r="R772" s="1"/>
      <c r="S772" s="1"/>
      <c r="T772" s="1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81"/>
      <c r="AN772" s="81"/>
      <c r="AO772" s="81"/>
      <c r="AP772" s="81"/>
      <c r="AQ772" s="81"/>
      <c r="AR772" s="81"/>
      <c r="AS772" s="81"/>
      <c r="AT772" s="81"/>
      <c r="AU772" s="81"/>
      <c r="AV772" s="81"/>
      <c r="AW772" s="81"/>
      <c r="AX772" s="81"/>
      <c r="AY772" s="81"/>
      <c r="AZ772" s="81"/>
      <c r="BA772" s="81"/>
      <c r="BB772" s="81"/>
    </row>
    <row r="773">
      <c r="A773" s="1"/>
      <c r="B773" s="3"/>
      <c r="C773" s="3"/>
      <c r="D773" s="159"/>
      <c r="E773" s="3"/>
      <c r="F773" s="3"/>
      <c r="G773" s="136"/>
      <c r="H773" s="3"/>
      <c r="I773" s="3"/>
      <c r="J773" s="1"/>
      <c r="K773" s="3"/>
      <c r="L773" s="3"/>
      <c r="M773" s="3"/>
      <c r="N773" s="70"/>
      <c r="O773" s="3"/>
      <c r="P773" s="3"/>
      <c r="Q773" s="25"/>
      <c r="R773" s="1"/>
      <c r="S773" s="1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81"/>
      <c r="AN773" s="81"/>
      <c r="AO773" s="81"/>
      <c r="AP773" s="81"/>
      <c r="AQ773" s="81"/>
      <c r="AR773" s="81"/>
      <c r="AS773" s="81"/>
      <c r="AT773" s="81"/>
      <c r="AU773" s="81"/>
      <c r="AV773" s="81"/>
      <c r="AW773" s="81"/>
      <c r="AX773" s="81"/>
      <c r="AY773" s="81"/>
      <c r="AZ773" s="81"/>
      <c r="BA773" s="81"/>
      <c r="BB773" s="81"/>
    </row>
    <row r="774">
      <c r="A774" s="3"/>
      <c r="B774" s="1"/>
      <c r="C774" s="3"/>
      <c r="D774" s="160"/>
      <c r="E774" s="1"/>
      <c r="F774" s="3"/>
      <c r="G774" s="136"/>
      <c r="H774" s="3"/>
      <c r="I774" s="1"/>
      <c r="J774" s="1"/>
      <c r="K774" s="3"/>
      <c r="L774" s="3"/>
      <c r="M774" s="3"/>
      <c r="N774" s="105"/>
      <c r="O774" s="1"/>
      <c r="P774" s="3"/>
      <c r="Q774" s="25"/>
      <c r="R774" s="1"/>
      <c r="S774" s="3"/>
      <c r="T774" s="3"/>
      <c r="U774" s="3"/>
      <c r="V774" s="3"/>
      <c r="W774" s="1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81"/>
      <c r="AN774" s="81"/>
      <c r="AO774" s="81"/>
      <c r="AP774" s="81"/>
      <c r="AQ774" s="81"/>
      <c r="AR774" s="81"/>
      <c r="AS774" s="81"/>
      <c r="AT774" s="81"/>
      <c r="AU774" s="81"/>
      <c r="AV774" s="81"/>
      <c r="AW774" s="81"/>
      <c r="AX774" s="81"/>
      <c r="AY774" s="81"/>
      <c r="AZ774" s="81"/>
      <c r="BA774" s="81"/>
      <c r="BB774" s="81"/>
    </row>
    <row r="775">
      <c r="A775" s="3"/>
      <c r="B775" s="3"/>
      <c r="C775" s="3"/>
      <c r="D775" s="3"/>
      <c r="E775" s="3"/>
      <c r="F775" s="3"/>
      <c r="G775" s="136"/>
      <c r="H775" s="3"/>
      <c r="I775" s="1"/>
      <c r="J775" s="1"/>
      <c r="K775" s="3"/>
      <c r="L775" s="3"/>
      <c r="M775" s="3"/>
      <c r="N775" s="70"/>
      <c r="O775" s="3"/>
      <c r="P775" s="3"/>
      <c r="Q775" s="25"/>
      <c r="R775" s="3"/>
      <c r="S775" s="1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81"/>
      <c r="AN775" s="81"/>
      <c r="AO775" s="81"/>
      <c r="AP775" s="81"/>
      <c r="AQ775" s="81"/>
      <c r="AR775" s="81"/>
      <c r="AS775" s="81"/>
      <c r="AT775" s="81"/>
      <c r="AU775" s="81"/>
      <c r="AV775" s="81"/>
      <c r="AW775" s="81"/>
      <c r="AX775" s="81"/>
      <c r="AY775" s="81"/>
      <c r="AZ775" s="81"/>
      <c r="BA775" s="81"/>
      <c r="BB775" s="81"/>
    </row>
    <row r="776">
      <c r="A776" s="3"/>
      <c r="B776" s="3"/>
      <c r="C776" s="3"/>
      <c r="D776" s="3"/>
      <c r="E776" s="3"/>
      <c r="F776" s="3"/>
      <c r="G776" s="136"/>
      <c r="H776" s="3"/>
      <c r="I776" s="3"/>
      <c r="J776" s="1"/>
      <c r="K776" s="3"/>
      <c r="L776" s="3"/>
      <c r="M776" s="3"/>
      <c r="N776" s="70"/>
      <c r="O776" s="3"/>
      <c r="P776" s="3"/>
      <c r="Q776" s="25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81"/>
      <c r="AN776" s="81"/>
      <c r="AO776" s="81"/>
      <c r="AP776" s="81"/>
      <c r="AQ776" s="81"/>
      <c r="AR776" s="81"/>
      <c r="AS776" s="81"/>
      <c r="AT776" s="81"/>
      <c r="AU776" s="81"/>
      <c r="AV776" s="81"/>
      <c r="AW776" s="81"/>
      <c r="AX776" s="81"/>
      <c r="AY776" s="81"/>
      <c r="AZ776" s="81"/>
      <c r="BA776" s="81"/>
      <c r="BB776" s="81"/>
    </row>
    <row r="777">
      <c r="A777" s="3"/>
      <c r="B777" s="3"/>
      <c r="C777" s="3"/>
      <c r="D777" s="3"/>
      <c r="E777" s="3"/>
      <c r="F777" s="3"/>
      <c r="G777" s="136"/>
      <c r="H777" s="3"/>
      <c r="I777" s="3"/>
      <c r="J777" s="1"/>
      <c r="K777" s="3"/>
      <c r="L777" s="3"/>
      <c r="M777" s="3"/>
      <c r="N777" s="70"/>
      <c r="O777" s="3"/>
      <c r="P777" s="3"/>
      <c r="Q777" s="25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1"/>
      <c r="AH777" s="3"/>
      <c r="AI777" s="1"/>
      <c r="AJ777" s="3"/>
      <c r="AK777" s="1"/>
      <c r="AL777" s="3"/>
      <c r="AM777" s="81"/>
      <c r="AN777" s="81"/>
      <c r="AO777" s="81"/>
      <c r="AP777" s="81"/>
      <c r="AQ777" s="81"/>
      <c r="AR777" s="81"/>
      <c r="AS777" s="81"/>
      <c r="AT777" s="81"/>
      <c r="AU777" s="81"/>
      <c r="AV777" s="81"/>
      <c r="AW777" s="81"/>
      <c r="AX777" s="81"/>
      <c r="AY777" s="81"/>
      <c r="AZ777" s="81"/>
      <c r="BA777" s="81"/>
      <c r="BB777" s="81"/>
    </row>
    <row r="778">
      <c r="A778" s="3"/>
      <c r="B778" s="3"/>
      <c r="C778" s="3"/>
      <c r="D778" s="3"/>
      <c r="E778" s="3"/>
      <c r="F778" s="3"/>
      <c r="G778" s="136"/>
      <c r="H778" s="3"/>
      <c r="I778" s="3"/>
      <c r="J778" s="1"/>
      <c r="K778" s="3"/>
      <c r="L778" s="3"/>
      <c r="M778" s="3"/>
      <c r="N778" s="70"/>
      <c r="O778" s="3"/>
      <c r="P778" s="3"/>
      <c r="Q778" s="25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1"/>
      <c r="AH778" s="3"/>
      <c r="AI778" s="1"/>
      <c r="AJ778" s="3"/>
      <c r="AK778" s="3"/>
      <c r="AL778" s="3"/>
      <c r="AM778" s="81"/>
      <c r="AN778" s="81"/>
      <c r="AO778" s="81"/>
      <c r="AP778" s="81"/>
      <c r="AQ778" s="81"/>
      <c r="AR778" s="81"/>
      <c r="AS778" s="81"/>
      <c r="AT778" s="81"/>
      <c r="AU778" s="81"/>
      <c r="AV778" s="81"/>
      <c r="AW778" s="81"/>
      <c r="AX778" s="81"/>
      <c r="AY778" s="81"/>
      <c r="AZ778" s="81"/>
      <c r="BA778" s="81"/>
      <c r="BB778" s="81"/>
    </row>
    <row r="779">
      <c r="A779" s="3"/>
      <c r="B779" s="3"/>
      <c r="C779" s="3"/>
      <c r="D779" s="3"/>
      <c r="E779" s="3"/>
      <c r="F779" s="3"/>
      <c r="G779" s="136"/>
      <c r="H779" s="3"/>
      <c r="I779" s="3"/>
      <c r="J779" s="1"/>
      <c r="K779" s="3"/>
      <c r="L779" s="3"/>
      <c r="M779" s="3"/>
      <c r="N779" s="70"/>
      <c r="O779" s="3"/>
      <c r="P779" s="3"/>
      <c r="Q779" s="25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81"/>
      <c r="AN779" s="81"/>
      <c r="AO779" s="81"/>
      <c r="AP779" s="81"/>
      <c r="AQ779" s="81"/>
      <c r="AR779" s="81"/>
      <c r="AS779" s="81"/>
      <c r="AT779" s="81"/>
      <c r="AU779" s="81"/>
      <c r="AV779" s="81"/>
      <c r="AW779" s="81"/>
      <c r="AX779" s="81"/>
      <c r="AY779" s="81"/>
      <c r="AZ779" s="81"/>
      <c r="BA779" s="81"/>
      <c r="BB779" s="81"/>
    </row>
    <row r="780">
      <c r="A780" s="3"/>
      <c r="B780" s="3"/>
      <c r="C780" s="3"/>
      <c r="D780" s="3"/>
      <c r="E780" s="3"/>
      <c r="F780" s="3"/>
      <c r="G780" s="136"/>
      <c r="H780" s="3"/>
      <c r="I780" s="3"/>
      <c r="J780" s="3"/>
      <c r="K780" s="3"/>
      <c r="L780" s="3"/>
      <c r="M780" s="3"/>
      <c r="N780" s="70"/>
      <c r="O780" s="3"/>
      <c r="P780" s="3"/>
      <c r="Q780" s="25"/>
      <c r="R780" s="1"/>
      <c r="S780" s="1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81"/>
      <c r="AN780" s="81"/>
      <c r="AO780" s="81"/>
      <c r="AP780" s="81"/>
      <c r="AQ780" s="81"/>
      <c r="AR780" s="81"/>
      <c r="AS780" s="81"/>
      <c r="AT780" s="81"/>
      <c r="AU780" s="81"/>
      <c r="AV780" s="81"/>
      <c r="AW780" s="81"/>
      <c r="AX780" s="81"/>
      <c r="AY780" s="81"/>
      <c r="AZ780" s="81"/>
      <c r="BA780" s="81"/>
      <c r="BB780" s="81"/>
    </row>
    <row r="781">
      <c r="A781" s="3"/>
      <c r="B781" s="3"/>
      <c r="C781" s="3"/>
      <c r="D781" s="1"/>
      <c r="E781" s="3"/>
      <c r="F781" s="3"/>
      <c r="G781" s="136"/>
      <c r="H781" s="3"/>
      <c r="I781" s="3"/>
      <c r="J781" s="1"/>
      <c r="K781" s="3"/>
      <c r="L781" s="3"/>
      <c r="M781" s="3"/>
      <c r="N781" s="70"/>
      <c r="O781" s="3"/>
      <c r="P781" s="3"/>
      <c r="Q781" s="25"/>
      <c r="R781" s="1"/>
      <c r="S781" s="1"/>
      <c r="T781" s="1"/>
      <c r="U781" s="1"/>
      <c r="V781" s="3"/>
      <c r="W781" s="1"/>
      <c r="X781" s="1"/>
      <c r="Y781" s="1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81"/>
      <c r="AN781" s="81"/>
      <c r="AO781" s="81"/>
      <c r="AP781" s="81"/>
      <c r="AQ781" s="81"/>
      <c r="AR781" s="81"/>
      <c r="AS781" s="81"/>
      <c r="AT781" s="81"/>
      <c r="AU781" s="81"/>
      <c r="AV781" s="81"/>
      <c r="AW781" s="81"/>
      <c r="AX781" s="81"/>
      <c r="AY781" s="81"/>
      <c r="AZ781" s="81"/>
      <c r="BA781" s="81"/>
      <c r="BB781" s="81"/>
    </row>
    <row r="782">
      <c r="A782" s="3"/>
      <c r="B782" s="3"/>
      <c r="C782" s="3"/>
      <c r="D782" s="1"/>
      <c r="E782" s="3"/>
      <c r="F782" s="3"/>
      <c r="G782" s="136"/>
      <c r="H782" s="3"/>
      <c r="I782" s="3"/>
      <c r="J782" s="3"/>
      <c r="K782" s="3"/>
      <c r="L782" s="3"/>
      <c r="M782" s="3"/>
      <c r="N782" s="70"/>
      <c r="O782" s="3"/>
      <c r="P782" s="3"/>
      <c r="Q782" s="25"/>
      <c r="R782" s="1"/>
      <c r="S782" s="1"/>
      <c r="T782" s="1"/>
      <c r="U782" s="1"/>
      <c r="V782" s="3"/>
      <c r="W782" s="1"/>
      <c r="X782" s="1"/>
      <c r="Y782" s="1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81"/>
      <c r="AN782" s="81"/>
      <c r="AO782" s="81"/>
      <c r="AP782" s="81"/>
      <c r="AQ782" s="81"/>
      <c r="AR782" s="81"/>
      <c r="AS782" s="81"/>
      <c r="AT782" s="81"/>
      <c r="AU782" s="81"/>
      <c r="AV782" s="81"/>
      <c r="AW782" s="81"/>
      <c r="AX782" s="81"/>
      <c r="AY782" s="81"/>
      <c r="AZ782" s="81"/>
      <c r="BA782" s="81"/>
      <c r="BB782" s="81"/>
    </row>
    <row r="783">
      <c r="A783" s="3"/>
      <c r="B783" s="3"/>
      <c r="C783" s="3"/>
      <c r="D783" s="3"/>
      <c r="E783" s="3"/>
      <c r="F783" s="3"/>
      <c r="G783" s="136"/>
      <c r="H783" s="3"/>
      <c r="I783" s="3"/>
      <c r="J783" s="1"/>
      <c r="K783" s="3"/>
      <c r="L783" s="3"/>
      <c r="M783" s="3"/>
      <c r="N783" s="70"/>
      <c r="O783" s="3"/>
      <c r="P783" s="3"/>
      <c r="Q783" s="25"/>
      <c r="R783" s="1"/>
      <c r="S783" s="1"/>
      <c r="T783" s="1"/>
      <c r="U783" s="1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81"/>
      <c r="AN783" s="81"/>
      <c r="AO783" s="81"/>
      <c r="AP783" s="81"/>
      <c r="AQ783" s="81"/>
      <c r="AR783" s="81"/>
      <c r="AS783" s="81"/>
      <c r="AT783" s="81"/>
      <c r="AU783" s="81"/>
      <c r="AV783" s="81"/>
      <c r="AW783" s="81"/>
      <c r="AX783" s="81"/>
      <c r="AY783" s="81"/>
      <c r="AZ783" s="81"/>
      <c r="BA783" s="81"/>
      <c r="BB783" s="81"/>
    </row>
    <row r="784">
      <c r="A784" s="3"/>
      <c r="B784" s="3"/>
      <c r="C784" s="3"/>
      <c r="D784" s="144"/>
      <c r="E784" s="3"/>
      <c r="F784" s="3"/>
      <c r="G784" s="136"/>
      <c r="H784" s="3"/>
      <c r="I784" s="3"/>
      <c r="J784" s="3"/>
      <c r="K784" s="3"/>
      <c r="L784" s="3"/>
      <c r="M784" s="3"/>
      <c r="N784" s="70"/>
      <c r="O784" s="3"/>
      <c r="P784" s="3"/>
      <c r="Q784" s="25"/>
      <c r="R784" s="3"/>
      <c r="S784" s="1"/>
      <c r="T784" s="1"/>
      <c r="U784" s="1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81"/>
      <c r="AN784" s="81"/>
      <c r="AO784" s="81"/>
      <c r="AP784" s="81"/>
      <c r="AQ784" s="81"/>
      <c r="AR784" s="81"/>
      <c r="AS784" s="81"/>
      <c r="AT784" s="81"/>
      <c r="AU784" s="81"/>
      <c r="AV784" s="81"/>
      <c r="AW784" s="81"/>
      <c r="AX784" s="81"/>
      <c r="AY784" s="81"/>
      <c r="AZ784" s="81"/>
      <c r="BA784" s="81"/>
      <c r="BB784" s="81"/>
    </row>
    <row r="785">
      <c r="A785" s="3"/>
      <c r="B785" s="3"/>
      <c r="C785" s="3"/>
      <c r="D785" s="3"/>
      <c r="E785" s="3"/>
      <c r="F785" s="3"/>
      <c r="G785" s="136"/>
      <c r="H785" s="3"/>
      <c r="I785" s="3"/>
      <c r="J785" s="1"/>
      <c r="K785" s="3"/>
      <c r="L785" s="3"/>
      <c r="M785" s="3"/>
      <c r="N785" s="70"/>
      <c r="O785" s="3"/>
      <c r="P785" s="3"/>
      <c r="Q785" s="25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1"/>
      <c r="AH785" s="3"/>
      <c r="AI785" s="1"/>
      <c r="AJ785" s="3"/>
      <c r="AK785" s="1"/>
      <c r="AL785" s="3"/>
      <c r="AM785" s="81"/>
      <c r="AN785" s="81"/>
      <c r="AO785" s="81"/>
      <c r="AP785" s="81"/>
      <c r="AQ785" s="81"/>
      <c r="AR785" s="81"/>
      <c r="AS785" s="81"/>
      <c r="AT785" s="81"/>
      <c r="AU785" s="81"/>
      <c r="AV785" s="81"/>
      <c r="AW785" s="81"/>
      <c r="AX785" s="81"/>
      <c r="AY785" s="81"/>
      <c r="AZ785" s="81"/>
      <c r="BA785" s="81"/>
      <c r="BB785" s="81"/>
    </row>
    <row r="786">
      <c r="A786" s="3"/>
      <c r="B786" s="3"/>
      <c r="C786" s="3"/>
      <c r="D786" s="3"/>
      <c r="E786" s="3"/>
      <c r="F786" s="3"/>
      <c r="G786" s="136"/>
      <c r="H786" s="3"/>
      <c r="I786" s="3"/>
      <c r="J786" s="1"/>
      <c r="K786" s="3"/>
      <c r="L786" s="3"/>
      <c r="M786" s="3"/>
      <c r="N786" s="70"/>
      <c r="O786" s="3"/>
      <c r="P786" s="3"/>
      <c r="Q786" s="25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81"/>
      <c r="AN786" s="81"/>
      <c r="AO786" s="81"/>
      <c r="AP786" s="81"/>
      <c r="AQ786" s="81"/>
      <c r="AR786" s="81"/>
      <c r="AS786" s="81"/>
      <c r="AT786" s="81"/>
      <c r="AU786" s="81"/>
      <c r="AV786" s="81"/>
      <c r="AW786" s="81"/>
      <c r="AX786" s="81"/>
      <c r="AY786" s="81"/>
      <c r="AZ786" s="81"/>
      <c r="BA786" s="81"/>
      <c r="BB786" s="81"/>
    </row>
    <row r="787">
      <c r="A787" s="3"/>
      <c r="B787" s="3"/>
      <c r="C787" s="3"/>
      <c r="D787" s="3"/>
      <c r="E787" s="3"/>
      <c r="F787" s="3"/>
      <c r="G787" s="136"/>
      <c r="H787" s="3"/>
      <c r="I787" s="3"/>
      <c r="J787" s="3"/>
      <c r="K787" s="3"/>
      <c r="L787" s="3"/>
      <c r="M787" s="3"/>
      <c r="N787" s="70"/>
      <c r="O787" s="3"/>
      <c r="P787" s="3"/>
      <c r="Q787" s="25"/>
      <c r="R787" s="3"/>
      <c r="S787" s="1"/>
      <c r="T787" s="1"/>
      <c r="U787" s="1"/>
      <c r="V787" s="3"/>
      <c r="W787" s="1"/>
      <c r="X787" s="1"/>
      <c r="Y787" s="1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81"/>
      <c r="AN787" s="81"/>
      <c r="AO787" s="81"/>
      <c r="AP787" s="81"/>
      <c r="AQ787" s="81"/>
      <c r="AR787" s="81"/>
      <c r="AS787" s="81"/>
      <c r="AT787" s="81"/>
      <c r="AU787" s="81"/>
      <c r="AV787" s="81"/>
      <c r="AW787" s="81"/>
      <c r="AX787" s="81"/>
      <c r="AY787" s="81"/>
      <c r="AZ787" s="81"/>
      <c r="BA787" s="81"/>
      <c r="BB787" s="81"/>
    </row>
    <row r="788">
      <c r="A788" s="3"/>
      <c r="B788" s="3"/>
      <c r="C788" s="3"/>
      <c r="D788" s="3"/>
      <c r="E788" s="3"/>
      <c r="F788" s="3"/>
      <c r="G788" s="136"/>
      <c r="H788" s="3"/>
      <c r="I788" s="3"/>
      <c r="J788" s="1"/>
      <c r="K788" s="3"/>
      <c r="L788" s="3"/>
      <c r="M788" s="3"/>
      <c r="N788" s="70"/>
      <c r="O788" s="3"/>
      <c r="P788" s="3"/>
      <c r="Q788" s="25"/>
      <c r="R788" s="1"/>
      <c r="S788" s="1"/>
      <c r="T788" s="1"/>
      <c r="U788" s="1"/>
      <c r="V788" s="3"/>
      <c r="W788" s="1"/>
      <c r="X788" s="1"/>
      <c r="Y788" s="1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81"/>
      <c r="AN788" s="81"/>
      <c r="AO788" s="81"/>
      <c r="AP788" s="81"/>
      <c r="AQ788" s="81"/>
      <c r="AR788" s="81"/>
      <c r="AS788" s="81"/>
      <c r="AT788" s="81"/>
      <c r="AU788" s="81"/>
      <c r="AV788" s="81"/>
      <c r="AW788" s="81"/>
      <c r="AX788" s="81"/>
      <c r="AY788" s="81"/>
      <c r="AZ788" s="81"/>
      <c r="BA788" s="81"/>
      <c r="BB788" s="81"/>
    </row>
    <row r="789">
      <c r="A789" s="3"/>
      <c r="B789" s="3"/>
      <c r="C789" s="126"/>
      <c r="D789" s="3"/>
      <c r="E789" s="3"/>
      <c r="F789" s="3"/>
      <c r="G789" s="136"/>
      <c r="H789" s="3"/>
      <c r="I789" s="3"/>
      <c r="J789" s="1"/>
      <c r="K789" s="3"/>
      <c r="L789" s="3"/>
      <c r="M789" s="3"/>
      <c r="N789" s="105"/>
      <c r="O789" s="3"/>
      <c r="P789" s="3"/>
      <c r="Q789" s="25"/>
      <c r="R789" s="3"/>
      <c r="S789" s="1"/>
      <c r="T789" s="1"/>
      <c r="U789" s="1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81"/>
      <c r="AN789" s="81"/>
      <c r="AO789" s="81"/>
      <c r="AP789" s="81"/>
      <c r="AQ789" s="81"/>
      <c r="AR789" s="81"/>
      <c r="AS789" s="81"/>
      <c r="AT789" s="81"/>
      <c r="AU789" s="81"/>
      <c r="AV789" s="81"/>
      <c r="AW789" s="81"/>
      <c r="AX789" s="81"/>
      <c r="AY789" s="81"/>
      <c r="AZ789" s="81"/>
      <c r="BA789" s="81"/>
      <c r="BB789" s="81"/>
    </row>
    <row r="790">
      <c r="A790" s="1"/>
      <c r="B790" s="3"/>
      <c r="C790" s="3"/>
      <c r="D790" s="3"/>
      <c r="E790" s="3"/>
      <c r="F790" s="3"/>
      <c r="G790" s="136"/>
      <c r="H790" s="3"/>
      <c r="I790" s="1"/>
      <c r="J790" s="1"/>
      <c r="K790" s="3"/>
      <c r="L790" s="3"/>
      <c r="M790" s="3"/>
      <c r="N790" s="70"/>
      <c r="O790" s="3"/>
      <c r="P790" s="3"/>
      <c r="Q790" s="25"/>
      <c r="R790" s="1"/>
      <c r="S790" s="1"/>
      <c r="T790" s="1"/>
      <c r="U790" s="3"/>
      <c r="V790" s="3"/>
      <c r="W790" s="1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81"/>
      <c r="AN790" s="81"/>
      <c r="AO790" s="81"/>
      <c r="AP790" s="81"/>
      <c r="AQ790" s="81"/>
      <c r="AR790" s="81"/>
      <c r="AS790" s="81"/>
      <c r="AT790" s="81"/>
      <c r="AU790" s="81"/>
      <c r="AV790" s="81"/>
      <c r="AW790" s="81"/>
      <c r="AX790" s="81"/>
      <c r="AY790" s="81"/>
      <c r="AZ790" s="81"/>
      <c r="BA790" s="81"/>
      <c r="BB790" s="81"/>
    </row>
    <row r="791">
      <c r="A791" s="3"/>
      <c r="B791" s="3"/>
      <c r="C791" s="3"/>
      <c r="D791" s="3"/>
      <c r="E791" s="3"/>
      <c r="F791" s="3"/>
      <c r="G791" s="136"/>
      <c r="H791" s="3"/>
      <c r="I791" s="3"/>
      <c r="J791" s="1"/>
      <c r="K791" s="3"/>
      <c r="L791" s="3"/>
      <c r="M791" s="3"/>
      <c r="N791" s="105"/>
      <c r="O791" s="1"/>
      <c r="P791" s="3"/>
      <c r="Q791" s="25"/>
      <c r="R791" s="1"/>
      <c r="S791" s="1"/>
      <c r="T791" s="1"/>
      <c r="U791" s="1"/>
      <c r="V791" s="3"/>
      <c r="W791" s="1"/>
      <c r="X791" s="1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107"/>
      <c r="AN791" s="81"/>
      <c r="AO791" s="81"/>
      <c r="AP791" s="81"/>
      <c r="AQ791" s="81"/>
      <c r="AR791" s="81"/>
      <c r="AS791" s="81"/>
      <c r="AT791" s="81"/>
      <c r="AU791" s="81"/>
      <c r="AV791" s="81"/>
      <c r="AW791" s="81"/>
      <c r="AX791" s="81"/>
      <c r="AY791" s="81"/>
      <c r="AZ791" s="81"/>
      <c r="BA791" s="81"/>
      <c r="BB791" s="81"/>
    </row>
    <row r="792">
      <c r="A792" s="3"/>
      <c r="B792" s="3"/>
      <c r="C792" s="3"/>
      <c r="D792" s="3"/>
      <c r="E792" s="3"/>
      <c r="F792" s="3"/>
      <c r="G792" s="136"/>
      <c r="H792" s="3"/>
      <c r="I792" s="3"/>
      <c r="J792" s="3"/>
      <c r="K792" s="3"/>
      <c r="L792" s="3"/>
      <c r="M792" s="3"/>
      <c r="N792" s="70"/>
      <c r="O792" s="3"/>
      <c r="P792" s="3"/>
      <c r="Q792" s="25"/>
      <c r="R792" s="3"/>
      <c r="S792" s="1"/>
      <c r="T792" s="1"/>
      <c r="U792" s="1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81"/>
      <c r="AN792" s="81"/>
      <c r="AO792" s="81"/>
      <c r="AP792" s="81"/>
      <c r="AQ792" s="81"/>
      <c r="AR792" s="81"/>
      <c r="AS792" s="81"/>
      <c r="AT792" s="81"/>
      <c r="AU792" s="81"/>
      <c r="AV792" s="81"/>
      <c r="AW792" s="81"/>
      <c r="AX792" s="81"/>
      <c r="AY792" s="81"/>
      <c r="AZ792" s="81"/>
      <c r="BA792" s="81"/>
      <c r="BB792" s="81"/>
    </row>
    <row r="793">
      <c r="A793" s="1"/>
      <c r="B793" s="3"/>
      <c r="C793" s="3"/>
      <c r="D793" s="130"/>
      <c r="E793" s="3"/>
      <c r="F793" s="3"/>
      <c r="G793" s="136"/>
      <c r="H793" s="3"/>
      <c r="I793" s="3"/>
      <c r="J793" s="3"/>
      <c r="K793" s="3"/>
      <c r="L793" s="3"/>
      <c r="M793" s="3"/>
      <c r="N793" s="70"/>
      <c r="O793" s="3"/>
      <c r="P793" s="3"/>
      <c r="Q793" s="25"/>
      <c r="R793" s="3"/>
      <c r="S793" s="1"/>
      <c r="T793" s="1"/>
      <c r="U793" s="1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81"/>
      <c r="AN793" s="81"/>
      <c r="AO793" s="81"/>
      <c r="AP793" s="81"/>
      <c r="AQ793" s="81"/>
      <c r="AR793" s="81"/>
      <c r="AS793" s="81"/>
      <c r="AT793" s="81"/>
      <c r="AU793" s="81"/>
      <c r="AV793" s="81"/>
      <c r="AW793" s="81"/>
      <c r="AX793" s="81"/>
      <c r="AY793" s="81"/>
      <c r="AZ793" s="81"/>
      <c r="BA793" s="81"/>
      <c r="BB793" s="81"/>
    </row>
    <row r="794">
      <c r="A794" s="3"/>
      <c r="B794" s="3"/>
      <c r="C794" s="3"/>
      <c r="D794" s="3"/>
      <c r="E794" s="3"/>
      <c r="F794" s="3"/>
      <c r="G794" s="136"/>
      <c r="H794" s="3"/>
      <c r="I794" s="3"/>
      <c r="J794" s="1"/>
      <c r="K794" s="3"/>
      <c r="L794" s="3"/>
      <c r="M794" s="3"/>
      <c r="N794" s="70"/>
      <c r="O794" s="3"/>
      <c r="P794" s="3"/>
      <c r="Q794" s="25"/>
      <c r="R794" s="3"/>
      <c r="S794" s="3"/>
      <c r="T794" s="1"/>
      <c r="U794" s="1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81"/>
      <c r="AN794" s="81"/>
      <c r="AO794" s="81"/>
      <c r="AP794" s="81"/>
      <c r="AQ794" s="81"/>
      <c r="AR794" s="81"/>
      <c r="AS794" s="81"/>
      <c r="AT794" s="81"/>
      <c r="AU794" s="81"/>
      <c r="AV794" s="81"/>
      <c r="AW794" s="81"/>
      <c r="AX794" s="81"/>
      <c r="AY794" s="81"/>
      <c r="AZ794" s="81"/>
      <c r="BA794" s="81"/>
      <c r="BB794" s="81"/>
    </row>
    <row r="795">
      <c r="B795" s="3"/>
      <c r="C795" s="3"/>
      <c r="D795" s="141"/>
      <c r="E795" s="3"/>
      <c r="F795" s="3"/>
      <c r="G795" s="136"/>
      <c r="H795" s="3"/>
      <c r="I795" s="3"/>
      <c r="J795" s="3"/>
      <c r="K795" s="3"/>
      <c r="L795" s="3"/>
      <c r="M795" s="3"/>
      <c r="N795" s="70"/>
      <c r="O795" s="3"/>
      <c r="P795" s="3"/>
      <c r="Q795" s="25"/>
      <c r="R795" s="3"/>
      <c r="S795" s="1"/>
      <c r="T795" s="1"/>
      <c r="U795" s="1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81"/>
      <c r="AN795" s="81"/>
      <c r="AO795" s="81"/>
      <c r="AP795" s="81"/>
      <c r="AQ795" s="81"/>
      <c r="AR795" s="81"/>
      <c r="AS795" s="81"/>
      <c r="AT795" s="81"/>
      <c r="AU795" s="81"/>
      <c r="AV795" s="81"/>
      <c r="AW795" s="81"/>
      <c r="AX795" s="81"/>
      <c r="AY795" s="81"/>
      <c r="AZ795" s="81"/>
      <c r="BA795" s="81"/>
      <c r="BB795" s="81"/>
    </row>
    <row r="796">
      <c r="A796" s="3"/>
      <c r="B796" s="3"/>
      <c r="C796" s="3"/>
      <c r="D796" s="161"/>
      <c r="E796" s="141"/>
      <c r="F796" s="3"/>
      <c r="G796" s="136"/>
      <c r="H796" s="3"/>
      <c r="I796" s="3"/>
      <c r="J796" s="3"/>
      <c r="K796" s="3"/>
      <c r="L796" s="3"/>
      <c r="M796" s="3"/>
      <c r="N796" s="70"/>
      <c r="O796" s="3"/>
      <c r="P796" s="3"/>
      <c r="Q796" s="25"/>
      <c r="R796" s="3"/>
      <c r="S796" s="1"/>
      <c r="T796" s="1"/>
      <c r="U796" s="3"/>
      <c r="V796" s="1"/>
      <c r="W796" s="1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81"/>
      <c r="AN796" s="81"/>
      <c r="AO796" s="81"/>
      <c r="AP796" s="81"/>
      <c r="AQ796" s="81"/>
      <c r="AR796" s="81"/>
      <c r="AS796" s="81"/>
      <c r="AT796" s="81"/>
      <c r="AU796" s="81"/>
      <c r="AV796" s="81"/>
      <c r="AW796" s="81"/>
      <c r="AX796" s="81"/>
      <c r="AY796" s="81"/>
      <c r="AZ796" s="81"/>
      <c r="BA796" s="81"/>
      <c r="BB796" s="81"/>
    </row>
    <row r="797">
      <c r="A797" s="3"/>
      <c r="B797" s="3"/>
      <c r="C797" s="3"/>
      <c r="D797" s="3"/>
      <c r="E797" s="3"/>
      <c r="F797" s="3"/>
      <c r="G797" s="136"/>
      <c r="H797" s="3"/>
      <c r="I797" s="3"/>
      <c r="J797" s="3"/>
      <c r="K797" s="3"/>
      <c r="L797" s="3"/>
      <c r="M797" s="3"/>
      <c r="N797" s="70"/>
      <c r="O797" s="3"/>
      <c r="P797" s="3"/>
      <c r="Q797" s="142"/>
      <c r="R797" s="1"/>
      <c r="S797" s="1"/>
      <c r="T797" s="1"/>
      <c r="U797" s="1"/>
      <c r="V797" s="3"/>
      <c r="W797" s="1"/>
      <c r="X797" s="1"/>
      <c r="Y797" s="1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81"/>
      <c r="AN797" s="81"/>
      <c r="AO797" s="81"/>
      <c r="AP797" s="81"/>
      <c r="AQ797" s="81"/>
      <c r="AR797" s="81"/>
      <c r="AS797" s="81"/>
      <c r="AT797" s="81"/>
      <c r="AU797" s="81"/>
      <c r="AV797" s="81"/>
      <c r="AW797" s="81"/>
      <c r="AX797" s="81"/>
      <c r="AY797" s="81"/>
      <c r="AZ797" s="81"/>
      <c r="BA797" s="81"/>
      <c r="BB797" s="81"/>
    </row>
    <row r="798">
      <c r="A798" s="3"/>
      <c r="B798" s="3"/>
      <c r="C798" s="115"/>
      <c r="D798" s="3"/>
      <c r="E798" s="3"/>
      <c r="F798" s="3"/>
      <c r="G798" s="136"/>
      <c r="H798" s="3"/>
      <c r="I798" s="3"/>
      <c r="J798" s="3"/>
      <c r="K798" s="3"/>
      <c r="L798" s="3"/>
      <c r="M798" s="3"/>
      <c r="N798" s="70"/>
      <c r="O798" s="3"/>
      <c r="P798" s="3"/>
      <c r="Q798" s="25"/>
      <c r="R798" s="3"/>
      <c r="S798" s="1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81"/>
      <c r="AN798" s="81"/>
      <c r="AO798" s="81"/>
      <c r="AP798" s="81"/>
      <c r="AQ798" s="81"/>
      <c r="AR798" s="81"/>
      <c r="AS798" s="81"/>
      <c r="AT798" s="81"/>
      <c r="AU798" s="81"/>
      <c r="AV798" s="81"/>
      <c r="AW798" s="81"/>
      <c r="AX798" s="81"/>
      <c r="AY798" s="81"/>
      <c r="AZ798" s="81"/>
      <c r="BA798" s="81"/>
      <c r="BB798" s="81"/>
    </row>
    <row r="799">
      <c r="A799" s="3"/>
      <c r="B799" s="3"/>
      <c r="C799" s="3"/>
      <c r="D799" s="3"/>
      <c r="E799" s="3"/>
      <c r="F799" s="3"/>
      <c r="G799" s="136"/>
      <c r="H799" s="3"/>
      <c r="I799" s="3"/>
      <c r="J799" s="3"/>
      <c r="K799" s="3"/>
      <c r="L799" s="3"/>
      <c r="M799" s="3"/>
      <c r="N799" s="70"/>
      <c r="O799" s="3"/>
      <c r="P799" s="3"/>
      <c r="Q799" s="25"/>
      <c r="R799" s="3"/>
      <c r="S799" s="1"/>
      <c r="T799" s="1"/>
      <c r="U799" s="1"/>
      <c r="V799" s="3"/>
      <c r="W799" s="3"/>
      <c r="X799" s="1"/>
      <c r="Y799" s="1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81"/>
      <c r="AN799" s="81"/>
      <c r="AO799" s="81"/>
      <c r="AP799" s="81"/>
      <c r="AQ799" s="81"/>
      <c r="AR799" s="81"/>
      <c r="AS799" s="81"/>
      <c r="AT799" s="81"/>
      <c r="AU799" s="81"/>
      <c r="AV799" s="81"/>
      <c r="AW799" s="81"/>
      <c r="AX799" s="81"/>
      <c r="AY799" s="81"/>
      <c r="AZ799" s="81"/>
      <c r="BA799" s="81"/>
      <c r="BB799" s="81"/>
    </row>
    <row r="800">
      <c r="A800" s="3"/>
      <c r="B800" s="3"/>
      <c r="C800" s="3"/>
      <c r="D800" s="3"/>
      <c r="E800" s="3"/>
      <c r="F800" s="3"/>
      <c r="G800" s="136"/>
      <c r="H800" s="3"/>
      <c r="I800" s="3"/>
      <c r="J800" s="1"/>
      <c r="K800" s="3"/>
      <c r="L800" s="3"/>
      <c r="M800" s="3"/>
      <c r="N800" s="70"/>
      <c r="O800" s="3"/>
      <c r="P800" s="3"/>
      <c r="Q800" s="25"/>
      <c r="R800" s="3"/>
      <c r="S800" s="1"/>
      <c r="T800" s="1"/>
      <c r="U800" s="1"/>
      <c r="V800" s="3"/>
      <c r="W800" s="3"/>
      <c r="X800" s="1"/>
      <c r="Y800" s="1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81"/>
      <c r="AN800" s="81"/>
      <c r="AO800" s="81"/>
      <c r="AP800" s="81"/>
      <c r="AQ800" s="81"/>
      <c r="AR800" s="81"/>
      <c r="AS800" s="81"/>
      <c r="AT800" s="81"/>
      <c r="AU800" s="81"/>
      <c r="AV800" s="81"/>
      <c r="AW800" s="81"/>
      <c r="AX800" s="81"/>
      <c r="AY800" s="81"/>
      <c r="AZ800" s="81"/>
      <c r="BA800" s="81"/>
      <c r="BB800" s="81"/>
    </row>
    <row r="801">
      <c r="A801" s="3"/>
      <c r="B801" s="3"/>
      <c r="C801" s="3"/>
      <c r="D801" s="3"/>
      <c r="E801" s="3"/>
      <c r="F801" s="3"/>
      <c r="G801" s="136"/>
      <c r="H801" s="3"/>
      <c r="I801" s="3"/>
      <c r="J801" s="1"/>
      <c r="K801" s="3"/>
      <c r="L801" s="3"/>
      <c r="M801" s="3"/>
      <c r="N801" s="70"/>
      <c r="O801" s="3"/>
      <c r="P801" s="3"/>
      <c r="Q801" s="25"/>
      <c r="R801" s="3"/>
      <c r="S801" s="1"/>
      <c r="T801" s="1"/>
      <c r="U801" s="1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81"/>
      <c r="AN801" s="81"/>
      <c r="AO801" s="81"/>
      <c r="AP801" s="81"/>
      <c r="AQ801" s="81"/>
      <c r="AR801" s="81"/>
      <c r="AS801" s="81"/>
      <c r="AT801" s="81"/>
      <c r="AU801" s="81"/>
      <c r="AV801" s="81"/>
      <c r="AW801" s="81"/>
      <c r="AX801" s="81"/>
      <c r="AY801" s="81"/>
      <c r="AZ801" s="81"/>
      <c r="BA801" s="81"/>
      <c r="BB801" s="81"/>
    </row>
    <row r="802">
      <c r="A802" s="3"/>
      <c r="B802" s="3"/>
      <c r="C802" s="3"/>
      <c r="D802" s="1"/>
      <c r="E802" s="3"/>
      <c r="F802" s="3"/>
      <c r="G802" s="136"/>
      <c r="H802" s="3"/>
      <c r="I802" s="3"/>
      <c r="J802" s="3"/>
      <c r="K802" s="3"/>
      <c r="L802" s="3"/>
      <c r="M802" s="3"/>
      <c r="N802" s="70"/>
      <c r="O802" s="3"/>
      <c r="P802" s="3"/>
      <c r="Q802" s="25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81"/>
      <c r="AN802" s="81"/>
      <c r="AO802" s="81"/>
      <c r="AP802" s="81"/>
      <c r="AQ802" s="81"/>
      <c r="AR802" s="81"/>
      <c r="AS802" s="81"/>
      <c r="AT802" s="81"/>
      <c r="AU802" s="81"/>
      <c r="AV802" s="81"/>
      <c r="AW802" s="81"/>
      <c r="AX802" s="81"/>
      <c r="AY802" s="81"/>
      <c r="AZ802" s="81"/>
      <c r="BA802" s="81"/>
      <c r="BB802" s="81"/>
    </row>
    <row r="803">
      <c r="A803" s="1"/>
      <c r="B803" s="3"/>
      <c r="C803" s="3"/>
      <c r="D803" s="1"/>
      <c r="E803" s="3"/>
      <c r="F803" s="3"/>
      <c r="G803" s="136"/>
      <c r="H803" s="3"/>
      <c r="I803" s="3"/>
      <c r="J803" s="3"/>
      <c r="K803" s="3"/>
      <c r="L803" s="3"/>
      <c r="M803" s="3"/>
      <c r="N803" s="105"/>
      <c r="O803" s="1"/>
      <c r="P803" s="3"/>
      <c r="Q803" s="25"/>
      <c r="R803" s="3"/>
      <c r="S803" s="3"/>
      <c r="T803" s="1"/>
      <c r="U803" s="1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81"/>
      <c r="AN803" s="81"/>
      <c r="AO803" s="81"/>
      <c r="AP803" s="81"/>
      <c r="AQ803" s="81"/>
      <c r="AR803" s="81"/>
      <c r="AS803" s="81"/>
      <c r="AT803" s="81"/>
      <c r="AU803" s="81"/>
      <c r="AV803" s="81"/>
      <c r="AW803" s="81"/>
      <c r="AX803" s="81"/>
      <c r="AY803" s="81"/>
      <c r="AZ803" s="81"/>
      <c r="BA803" s="81"/>
      <c r="BB803" s="81"/>
    </row>
    <row r="804">
      <c r="A804" s="1"/>
      <c r="B804" s="3"/>
      <c r="C804" s="3"/>
      <c r="D804" s="3"/>
      <c r="E804" s="3"/>
      <c r="F804" s="3"/>
      <c r="G804" s="136"/>
      <c r="H804" s="3"/>
      <c r="I804" s="1"/>
      <c r="J804" s="3"/>
      <c r="K804" s="3"/>
      <c r="L804" s="3"/>
      <c r="M804" s="3"/>
      <c r="N804" s="105"/>
      <c r="O804" s="1"/>
      <c r="P804" s="1"/>
      <c r="Q804" s="25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81"/>
      <c r="AN804" s="81"/>
      <c r="AO804" s="81"/>
      <c r="AP804" s="81"/>
      <c r="AQ804" s="81"/>
      <c r="AR804" s="81"/>
      <c r="AS804" s="81"/>
      <c r="AT804" s="81"/>
      <c r="AU804" s="81"/>
      <c r="AV804" s="81"/>
      <c r="AW804" s="81"/>
      <c r="AX804" s="81"/>
      <c r="AY804" s="81"/>
      <c r="AZ804" s="81"/>
      <c r="BA804" s="81"/>
      <c r="BB804" s="81"/>
    </row>
    <row r="805">
      <c r="A805" s="3"/>
      <c r="B805" s="3"/>
      <c r="C805" s="3"/>
      <c r="D805" s="3"/>
      <c r="E805" s="3"/>
      <c r="F805" s="3"/>
      <c r="G805" s="136"/>
      <c r="H805" s="3"/>
      <c r="I805" s="1"/>
      <c r="J805" s="3"/>
      <c r="K805" s="3"/>
      <c r="L805" s="3"/>
      <c r="M805" s="3"/>
      <c r="N805" s="70"/>
      <c r="O805" s="3"/>
      <c r="P805" s="3"/>
      <c r="Q805" s="25"/>
      <c r="R805" s="3"/>
      <c r="S805" s="1"/>
      <c r="T805" s="1"/>
      <c r="U805" s="1"/>
      <c r="V805" s="3"/>
      <c r="W805" s="1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81"/>
      <c r="AN805" s="81"/>
      <c r="AO805" s="81"/>
      <c r="AP805" s="81"/>
      <c r="AQ805" s="81"/>
      <c r="AR805" s="81"/>
      <c r="AS805" s="81"/>
      <c r="AT805" s="81"/>
      <c r="AU805" s="81"/>
      <c r="AV805" s="81"/>
      <c r="AW805" s="81"/>
      <c r="AX805" s="81"/>
      <c r="AY805" s="81"/>
      <c r="AZ805" s="81"/>
      <c r="BA805" s="81"/>
      <c r="BB805" s="81"/>
    </row>
    <row r="806">
      <c r="A806" s="3"/>
      <c r="B806" s="3"/>
      <c r="C806" s="3"/>
      <c r="D806" s="3"/>
      <c r="E806" s="3"/>
      <c r="F806" s="3"/>
      <c r="G806" s="136"/>
      <c r="H806" s="3"/>
      <c r="I806" s="3"/>
      <c r="J806" s="3"/>
      <c r="K806" s="3"/>
      <c r="L806" s="3"/>
      <c r="M806" s="3"/>
      <c r="N806" s="70"/>
      <c r="O806" s="3"/>
      <c r="P806" s="3"/>
      <c r="Q806" s="142"/>
      <c r="R806" s="3"/>
      <c r="S806" s="3"/>
      <c r="T806" s="1"/>
      <c r="U806" s="1"/>
      <c r="V806" s="3"/>
      <c r="W806" s="3"/>
      <c r="X806" s="1"/>
      <c r="Y806" s="1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81"/>
      <c r="AN806" s="81"/>
      <c r="AO806" s="81"/>
      <c r="AP806" s="81"/>
      <c r="AQ806" s="81"/>
      <c r="AR806" s="81"/>
      <c r="AS806" s="81"/>
      <c r="AT806" s="81"/>
      <c r="AU806" s="81"/>
      <c r="AV806" s="81"/>
      <c r="AW806" s="81"/>
      <c r="AX806" s="81"/>
      <c r="AY806" s="81"/>
      <c r="AZ806" s="81"/>
      <c r="BA806" s="81"/>
      <c r="BB806" s="81"/>
    </row>
    <row r="807">
      <c r="A807" s="3"/>
      <c r="B807" s="3"/>
      <c r="C807" s="3"/>
      <c r="D807" s="3"/>
      <c r="E807" s="3"/>
      <c r="F807" s="3"/>
      <c r="G807" s="136"/>
      <c r="H807" s="3"/>
      <c r="I807" s="3"/>
      <c r="J807" s="3"/>
      <c r="K807" s="3"/>
      <c r="L807" s="3"/>
      <c r="M807" s="3"/>
      <c r="N807" s="70"/>
      <c r="O807" s="3"/>
      <c r="P807" s="3"/>
      <c r="Q807" s="25"/>
      <c r="R807" s="3"/>
      <c r="S807" s="3"/>
      <c r="T807" s="3"/>
      <c r="U807" s="1"/>
      <c r="V807" s="3"/>
      <c r="W807" s="3"/>
      <c r="X807" s="1"/>
      <c r="Y807" s="1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81"/>
      <c r="AN807" s="81"/>
      <c r="AO807" s="81"/>
      <c r="AP807" s="81"/>
      <c r="AQ807" s="81"/>
      <c r="AR807" s="81"/>
      <c r="AS807" s="81"/>
      <c r="AT807" s="81"/>
      <c r="AU807" s="81"/>
      <c r="AV807" s="81"/>
      <c r="AW807" s="81"/>
      <c r="AX807" s="81"/>
      <c r="AY807" s="81"/>
      <c r="AZ807" s="81"/>
      <c r="BA807" s="81"/>
      <c r="BB807" s="81"/>
    </row>
    <row r="808">
      <c r="A808" s="3"/>
      <c r="B808" s="3"/>
      <c r="C808" s="3"/>
      <c r="D808" s="1"/>
      <c r="E808" s="3"/>
      <c r="F808" s="3"/>
      <c r="G808" s="136"/>
      <c r="H808" s="3"/>
      <c r="I808" s="3"/>
      <c r="J808" s="1"/>
      <c r="K808" s="3"/>
      <c r="L808" s="3"/>
      <c r="M808" s="3"/>
      <c r="N808" s="70"/>
      <c r="O808" s="3"/>
      <c r="P808" s="3"/>
      <c r="Q808" s="25"/>
      <c r="R808" s="1"/>
      <c r="S808" s="1"/>
      <c r="T808" s="1"/>
      <c r="U808" s="1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81"/>
      <c r="AN808" s="81"/>
      <c r="AO808" s="81"/>
      <c r="AP808" s="81"/>
      <c r="AQ808" s="81"/>
      <c r="AR808" s="81"/>
      <c r="AS808" s="81"/>
      <c r="AT808" s="81"/>
      <c r="AU808" s="81"/>
      <c r="AV808" s="81"/>
      <c r="AW808" s="81"/>
      <c r="AX808" s="81"/>
      <c r="AY808" s="81"/>
      <c r="AZ808" s="81"/>
      <c r="BA808" s="81"/>
      <c r="BB808" s="81"/>
    </row>
    <row r="809">
      <c r="A809" s="3"/>
      <c r="B809" s="3"/>
      <c r="C809" s="3"/>
      <c r="D809" s="130"/>
      <c r="E809" s="3"/>
      <c r="F809" s="3"/>
      <c r="G809" s="136"/>
      <c r="H809" s="3"/>
      <c r="I809" s="1"/>
      <c r="J809" s="3"/>
      <c r="K809" s="3"/>
      <c r="L809" s="3"/>
      <c r="M809" s="3"/>
      <c r="N809" s="70"/>
      <c r="O809" s="3"/>
      <c r="P809" s="3"/>
      <c r="Q809" s="25"/>
      <c r="R809" s="3"/>
      <c r="S809" s="1"/>
      <c r="T809" s="1"/>
      <c r="U809" s="1"/>
      <c r="V809" s="1"/>
      <c r="W809" s="3"/>
      <c r="X809" s="1"/>
      <c r="Y809" s="1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81"/>
      <c r="AN809" s="81"/>
      <c r="AO809" s="81"/>
      <c r="AP809" s="81"/>
      <c r="AQ809" s="81"/>
      <c r="AR809" s="81"/>
      <c r="AS809" s="81"/>
      <c r="AT809" s="81"/>
      <c r="AU809" s="81"/>
      <c r="AV809" s="81"/>
      <c r="AW809" s="81"/>
      <c r="AX809" s="81"/>
      <c r="AY809" s="81"/>
      <c r="AZ809" s="81"/>
      <c r="BA809" s="81"/>
      <c r="BB809" s="81"/>
    </row>
    <row r="810">
      <c r="A810" s="3"/>
      <c r="B810" s="3"/>
      <c r="C810" s="3"/>
      <c r="D810" s="1"/>
      <c r="E810" s="3"/>
      <c r="F810" s="3"/>
      <c r="G810" s="136"/>
      <c r="H810" s="3"/>
      <c r="I810" s="1"/>
      <c r="J810" s="3"/>
      <c r="K810" s="3"/>
      <c r="L810" s="3"/>
      <c r="M810" s="3"/>
      <c r="N810" s="70"/>
      <c r="O810" s="3"/>
      <c r="P810" s="3"/>
      <c r="Q810" s="25"/>
      <c r="R810" s="1"/>
      <c r="S810" s="1"/>
      <c r="T810" s="1"/>
      <c r="U810" s="1"/>
      <c r="V810" s="3"/>
      <c r="W810" s="1"/>
      <c r="X810" s="1"/>
      <c r="Y810" s="1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81"/>
      <c r="AN810" s="81"/>
      <c r="AO810" s="81"/>
      <c r="AP810" s="81"/>
      <c r="AQ810" s="81"/>
      <c r="AR810" s="81"/>
      <c r="AS810" s="81"/>
      <c r="AT810" s="81"/>
      <c r="AU810" s="81"/>
      <c r="AV810" s="81"/>
      <c r="AW810" s="81"/>
      <c r="AX810" s="81"/>
      <c r="AY810" s="81"/>
      <c r="AZ810" s="81"/>
      <c r="BA810" s="81"/>
      <c r="BB810" s="81"/>
    </row>
    <row r="811">
      <c r="A811" s="3"/>
      <c r="B811" s="3"/>
      <c r="C811" s="3"/>
      <c r="D811" s="3"/>
      <c r="E811" s="3"/>
      <c r="F811" s="3"/>
      <c r="G811" s="136"/>
      <c r="H811" s="3"/>
      <c r="I811" s="3"/>
      <c r="J811" s="1"/>
      <c r="K811" s="3"/>
      <c r="L811" s="3"/>
      <c r="M811" s="1"/>
      <c r="N811" s="70"/>
      <c r="O811" s="3"/>
      <c r="P811" s="3"/>
      <c r="Q811" s="25"/>
      <c r="R811" s="3"/>
      <c r="S811" s="1"/>
      <c r="T811" s="1"/>
      <c r="U811" s="1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81"/>
      <c r="AN811" s="81"/>
      <c r="AO811" s="81"/>
      <c r="AP811" s="81"/>
      <c r="AQ811" s="81"/>
      <c r="AR811" s="81"/>
      <c r="AS811" s="81"/>
      <c r="AT811" s="81"/>
      <c r="AU811" s="81"/>
      <c r="AV811" s="81"/>
      <c r="AW811" s="81"/>
      <c r="AX811" s="81"/>
      <c r="AY811" s="81"/>
      <c r="AZ811" s="81"/>
      <c r="BA811" s="81"/>
      <c r="BB811" s="81"/>
    </row>
    <row r="812">
      <c r="A812" s="3"/>
      <c r="B812" s="3"/>
      <c r="C812" s="3"/>
      <c r="D812" s="141"/>
      <c r="E812" s="3"/>
      <c r="F812" s="3"/>
      <c r="G812" s="136"/>
      <c r="H812" s="3"/>
      <c r="I812" s="3"/>
      <c r="J812" s="1"/>
      <c r="K812" s="3"/>
      <c r="L812" s="3"/>
      <c r="M812" s="3"/>
      <c r="N812" s="70"/>
      <c r="O812" s="3"/>
      <c r="P812" s="3"/>
      <c r="Q812" s="25"/>
      <c r="R812" s="1"/>
      <c r="S812" s="1"/>
      <c r="T812" s="1"/>
      <c r="U812" s="1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81"/>
      <c r="AN812" s="81"/>
      <c r="AO812" s="81"/>
      <c r="AP812" s="81"/>
      <c r="AQ812" s="81"/>
      <c r="AR812" s="81"/>
      <c r="AS812" s="81"/>
      <c r="AT812" s="81"/>
      <c r="AU812" s="81"/>
      <c r="AV812" s="81"/>
      <c r="AW812" s="81"/>
      <c r="AX812" s="81"/>
      <c r="AY812" s="81"/>
      <c r="AZ812" s="81"/>
      <c r="BA812" s="81"/>
      <c r="BB812" s="81"/>
    </row>
    <row r="813">
      <c r="A813" s="3"/>
      <c r="B813" s="3"/>
      <c r="C813" s="3"/>
      <c r="D813" s="141"/>
      <c r="E813" s="3"/>
      <c r="F813" s="3"/>
      <c r="G813" s="136"/>
      <c r="H813" s="3"/>
      <c r="I813" s="3"/>
      <c r="J813" s="3"/>
      <c r="K813" s="3"/>
      <c r="L813" s="3"/>
      <c r="M813" s="3"/>
      <c r="N813" s="70"/>
      <c r="O813" s="3"/>
      <c r="P813" s="3"/>
      <c r="Q813" s="25"/>
      <c r="R813" s="3"/>
      <c r="S813" s="3"/>
      <c r="T813" s="1"/>
      <c r="U813" s="1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81"/>
      <c r="AN813" s="81"/>
      <c r="AO813" s="81"/>
      <c r="AP813" s="81"/>
      <c r="AQ813" s="81"/>
      <c r="AR813" s="81"/>
      <c r="AS813" s="81"/>
      <c r="AT813" s="81"/>
      <c r="AU813" s="81"/>
      <c r="AV813" s="81"/>
      <c r="AW813" s="81"/>
      <c r="AX813" s="81"/>
      <c r="AY813" s="81"/>
      <c r="AZ813" s="81"/>
      <c r="BA813" s="81"/>
      <c r="BB813" s="81"/>
    </row>
    <row r="814">
      <c r="A814" s="3"/>
      <c r="B814" s="1"/>
      <c r="C814" s="3"/>
      <c r="D814" s="154"/>
      <c r="E814" s="3"/>
      <c r="F814" s="3"/>
      <c r="G814" s="136"/>
      <c r="H814" s="3"/>
      <c r="I814" s="3"/>
      <c r="J814" s="3"/>
      <c r="K814" s="3"/>
      <c r="L814" s="3"/>
      <c r="M814" s="3"/>
      <c r="N814" s="105"/>
      <c r="O814" s="1"/>
      <c r="P814" s="3"/>
      <c r="Q814" s="25"/>
      <c r="R814" s="1"/>
      <c r="S814" s="1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81"/>
      <c r="AN814" s="81"/>
      <c r="AO814" s="81"/>
      <c r="AP814" s="81"/>
      <c r="AQ814" s="81"/>
      <c r="AR814" s="81"/>
      <c r="AS814" s="81"/>
      <c r="AT814" s="81"/>
      <c r="AU814" s="81"/>
      <c r="AV814" s="81"/>
      <c r="AW814" s="81"/>
      <c r="AX814" s="81"/>
      <c r="AY814" s="81"/>
      <c r="AZ814" s="81"/>
      <c r="BA814" s="81"/>
      <c r="BB814" s="81"/>
    </row>
    <row r="815">
      <c r="A815" s="135"/>
      <c r="B815" s="1"/>
      <c r="C815" s="3"/>
      <c r="D815" s="3"/>
      <c r="E815" s="3"/>
      <c r="F815" s="3"/>
      <c r="G815" s="136"/>
      <c r="H815" s="3"/>
      <c r="I815" s="3"/>
      <c r="J815" s="1"/>
      <c r="K815" s="3"/>
      <c r="L815" s="3"/>
      <c r="M815" s="3"/>
      <c r="N815" s="105"/>
      <c r="O815" s="1"/>
      <c r="P815" s="3"/>
      <c r="Q815" s="25"/>
      <c r="R815" s="1"/>
      <c r="S815" s="1"/>
      <c r="T815" s="1"/>
      <c r="U815" s="1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81"/>
      <c r="AN815" s="81"/>
      <c r="AO815" s="81"/>
      <c r="AP815" s="81"/>
      <c r="AQ815" s="81"/>
      <c r="AR815" s="81"/>
      <c r="AS815" s="81"/>
      <c r="AT815" s="81"/>
      <c r="AU815" s="81"/>
      <c r="AV815" s="81"/>
      <c r="AW815" s="81"/>
      <c r="AX815" s="81"/>
      <c r="AY815" s="81"/>
      <c r="AZ815" s="81"/>
      <c r="BA815" s="81"/>
      <c r="BB815" s="81"/>
    </row>
    <row r="816">
      <c r="A816" s="3"/>
      <c r="B816" s="3"/>
      <c r="C816" s="3"/>
      <c r="D816" s="141"/>
      <c r="E816" s="3"/>
      <c r="F816" s="3"/>
      <c r="G816" s="136"/>
      <c r="H816" s="3"/>
      <c r="I816" s="3"/>
      <c r="J816" s="1"/>
      <c r="K816" s="3"/>
      <c r="L816" s="3"/>
      <c r="M816" s="3"/>
      <c r="N816" s="70"/>
      <c r="O816" s="3"/>
      <c r="P816" s="3"/>
      <c r="Q816" s="25"/>
      <c r="R816" s="3"/>
      <c r="S816" s="1"/>
      <c r="T816" s="1"/>
      <c r="U816" s="1"/>
      <c r="V816" s="1"/>
      <c r="W816" s="1"/>
      <c r="X816" s="1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81"/>
      <c r="AN816" s="81"/>
      <c r="AO816" s="81"/>
      <c r="AP816" s="81"/>
      <c r="AQ816" s="81"/>
      <c r="AR816" s="81"/>
      <c r="AS816" s="81"/>
      <c r="AT816" s="81"/>
      <c r="AU816" s="81"/>
      <c r="AV816" s="81"/>
      <c r="AW816" s="81"/>
      <c r="AX816" s="81"/>
      <c r="AY816" s="81"/>
      <c r="AZ816" s="81"/>
      <c r="BA816" s="81"/>
      <c r="BB816" s="81"/>
    </row>
    <row r="817">
      <c r="A817" s="3"/>
      <c r="B817" s="3"/>
      <c r="C817" s="3"/>
      <c r="D817" s="3"/>
      <c r="E817" s="3"/>
      <c r="F817" s="3"/>
      <c r="G817" s="136"/>
      <c r="H817" s="3"/>
      <c r="I817" s="1"/>
      <c r="J817" s="1"/>
      <c r="K817" s="3"/>
      <c r="L817" s="3"/>
      <c r="M817" s="3"/>
      <c r="N817" s="70"/>
      <c r="O817" s="3"/>
      <c r="P817" s="3"/>
      <c r="Q817" s="25"/>
      <c r="R817" s="1"/>
      <c r="S817" s="1"/>
      <c r="T817" s="1"/>
      <c r="U817" s="1"/>
      <c r="V817" s="3"/>
      <c r="W817" s="1"/>
      <c r="X817" s="1"/>
      <c r="Y817" s="1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81"/>
      <c r="AN817" s="81"/>
      <c r="AO817" s="81"/>
      <c r="AP817" s="81"/>
      <c r="AQ817" s="81"/>
      <c r="AR817" s="81"/>
      <c r="AS817" s="81"/>
      <c r="AT817" s="81"/>
      <c r="AU817" s="81"/>
      <c r="AV817" s="81"/>
      <c r="AW817" s="81"/>
      <c r="AX817" s="81"/>
      <c r="AY817" s="81"/>
      <c r="AZ817" s="81"/>
      <c r="BA817" s="81"/>
      <c r="BB817" s="81"/>
    </row>
    <row r="818">
      <c r="A818" s="3"/>
      <c r="B818" s="3"/>
      <c r="C818" s="3"/>
      <c r="D818" s="3"/>
      <c r="E818" s="3"/>
      <c r="F818" s="3"/>
      <c r="G818" s="136"/>
      <c r="H818" s="3"/>
      <c r="I818" s="3"/>
      <c r="J818" s="1"/>
      <c r="K818" s="3"/>
      <c r="L818" s="3"/>
      <c r="M818" s="3"/>
      <c r="N818" s="70"/>
      <c r="O818" s="3"/>
      <c r="P818" s="3"/>
      <c r="Q818" s="25"/>
      <c r="R818" s="3"/>
      <c r="S818" s="1"/>
      <c r="T818" s="1"/>
      <c r="U818" s="1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107"/>
      <c r="AN818" s="81"/>
      <c r="AO818" s="81"/>
      <c r="AP818" s="81"/>
      <c r="AQ818" s="81"/>
      <c r="AR818" s="81"/>
      <c r="AS818" s="81"/>
      <c r="AT818" s="81"/>
      <c r="AU818" s="81"/>
      <c r="AV818" s="81"/>
      <c r="AW818" s="81"/>
      <c r="AX818" s="81"/>
      <c r="AY818" s="81"/>
      <c r="AZ818" s="81"/>
      <c r="BA818" s="81"/>
      <c r="BB818" s="81"/>
    </row>
    <row r="819">
      <c r="A819" s="3"/>
      <c r="B819" s="3"/>
      <c r="C819" s="3"/>
      <c r="D819" s="3"/>
      <c r="E819" s="3"/>
      <c r="F819" s="3"/>
      <c r="G819" s="136"/>
      <c r="H819" s="3"/>
      <c r="I819" s="3"/>
      <c r="J819" s="3"/>
      <c r="K819" s="3"/>
      <c r="L819" s="3"/>
      <c r="M819" s="3"/>
      <c r="N819" s="70"/>
      <c r="O819" s="3"/>
      <c r="P819" s="3"/>
      <c r="Q819" s="25"/>
      <c r="R819" s="3"/>
      <c r="S819" s="1"/>
      <c r="T819" s="1"/>
      <c r="U819" s="1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81"/>
      <c r="AN819" s="81"/>
      <c r="AO819" s="81"/>
      <c r="AP819" s="81"/>
      <c r="AQ819" s="81"/>
      <c r="AR819" s="81"/>
      <c r="AS819" s="81"/>
      <c r="AT819" s="81"/>
      <c r="AU819" s="81"/>
      <c r="AV819" s="81"/>
      <c r="AW819" s="81"/>
      <c r="AX819" s="81"/>
      <c r="AY819" s="81"/>
      <c r="AZ819" s="81"/>
      <c r="BA819" s="81"/>
      <c r="BB819" s="81"/>
    </row>
    <row r="820">
      <c r="A820" s="3"/>
      <c r="B820" s="3"/>
      <c r="C820" s="3"/>
      <c r="D820" s="3"/>
      <c r="E820" s="3"/>
      <c r="F820" s="3"/>
      <c r="G820" s="136"/>
      <c r="H820" s="3"/>
      <c r="I820" s="3"/>
      <c r="J820" s="1"/>
      <c r="K820" s="3"/>
      <c r="L820" s="3"/>
      <c r="M820" s="3"/>
      <c r="N820" s="70"/>
      <c r="O820" s="3"/>
      <c r="P820" s="3"/>
      <c r="Q820" s="25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81"/>
      <c r="AN820" s="81"/>
      <c r="AO820" s="81"/>
      <c r="AP820" s="81"/>
      <c r="AQ820" s="81"/>
      <c r="AR820" s="81"/>
      <c r="AS820" s="81"/>
      <c r="AT820" s="81"/>
      <c r="AU820" s="81"/>
      <c r="AV820" s="81"/>
      <c r="AW820" s="81"/>
      <c r="AX820" s="81"/>
      <c r="AY820" s="81"/>
      <c r="AZ820" s="81"/>
      <c r="BA820" s="81"/>
      <c r="BB820" s="81"/>
    </row>
    <row r="821">
      <c r="A821" s="1"/>
      <c r="B821" s="3"/>
      <c r="C821" s="3"/>
      <c r="D821" s="3"/>
      <c r="E821" s="3"/>
      <c r="F821" s="3"/>
      <c r="G821" s="136"/>
      <c r="H821" s="3"/>
      <c r="I821" s="3"/>
      <c r="J821" s="3"/>
      <c r="K821" s="3"/>
      <c r="L821" s="3"/>
      <c r="M821" s="3"/>
      <c r="N821" s="105"/>
      <c r="O821" s="1"/>
      <c r="P821" s="3"/>
      <c r="Q821" s="25"/>
      <c r="R821" s="1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107"/>
      <c r="AN821" s="81"/>
      <c r="AO821" s="81"/>
      <c r="AP821" s="81"/>
      <c r="AQ821" s="81"/>
      <c r="AR821" s="81"/>
      <c r="AS821" s="81"/>
      <c r="AT821" s="81"/>
      <c r="AU821" s="81"/>
      <c r="AV821" s="81"/>
      <c r="AW821" s="81"/>
      <c r="AX821" s="81"/>
      <c r="AY821" s="81"/>
      <c r="AZ821" s="81"/>
      <c r="BA821" s="81"/>
      <c r="BB821" s="81"/>
    </row>
    <row r="822">
      <c r="A822" s="3"/>
      <c r="B822" s="3"/>
      <c r="C822" s="3"/>
      <c r="D822" s="1"/>
      <c r="E822" s="3"/>
      <c r="F822" s="3"/>
      <c r="G822" s="136"/>
      <c r="H822" s="3"/>
      <c r="I822" s="3"/>
      <c r="J822" s="1"/>
      <c r="K822" s="3"/>
      <c r="L822" s="3"/>
      <c r="M822" s="3"/>
      <c r="N822" s="70"/>
      <c r="O822" s="3"/>
      <c r="P822" s="3"/>
      <c r="Q822" s="25"/>
      <c r="R822" s="1"/>
      <c r="S822" s="1"/>
      <c r="T822" s="1"/>
      <c r="U822" s="1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81"/>
      <c r="AN822" s="81"/>
      <c r="AO822" s="81"/>
      <c r="AP822" s="81"/>
      <c r="AQ822" s="81"/>
      <c r="AR822" s="81"/>
      <c r="AS822" s="81"/>
      <c r="AT822" s="81"/>
      <c r="AU822" s="81"/>
      <c r="AV822" s="81"/>
      <c r="AW822" s="81"/>
      <c r="AX822" s="81"/>
      <c r="AY822" s="81"/>
      <c r="AZ822" s="81"/>
      <c r="BA822" s="81"/>
      <c r="BB822" s="81"/>
    </row>
    <row r="823">
      <c r="A823" s="3"/>
      <c r="B823" s="3"/>
      <c r="C823" s="3"/>
      <c r="D823" s="3"/>
      <c r="E823" s="3"/>
      <c r="F823" s="3"/>
      <c r="G823" s="136"/>
      <c r="H823" s="3"/>
      <c r="I823" s="3"/>
      <c r="J823" s="1"/>
      <c r="K823" s="3"/>
      <c r="L823" s="3"/>
      <c r="M823" s="3"/>
      <c r="N823" s="70"/>
      <c r="O823" s="3"/>
      <c r="P823" s="3"/>
      <c r="Q823" s="25"/>
      <c r="R823" s="3"/>
      <c r="S823" s="1"/>
      <c r="T823" s="1"/>
      <c r="U823" s="1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81"/>
      <c r="AN823" s="81"/>
      <c r="AO823" s="81"/>
      <c r="AP823" s="81"/>
      <c r="AQ823" s="81"/>
      <c r="AR823" s="81"/>
      <c r="AS823" s="81"/>
      <c r="AT823" s="81"/>
      <c r="AU823" s="81"/>
      <c r="AV823" s="81"/>
      <c r="AW823" s="81"/>
      <c r="AX823" s="81"/>
      <c r="AY823" s="81"/>
      <c r="AZ823" s="81"/>
      <c r="BA823" s="81"/>
      <c r="BB823" s="81"/>
    </row>
    <row r="824">
      <c r="A824" s="3"/>
      <c r="B824" s="3"/>
      <c r="C824" s="3"/>
      <c r="D824" s="3"/>
      <c r="E824" s="3"/>
      <c r="F824" s="3"/>
      <c r="G824" s="136"/>
      <c r="H824" s="3"/>
      <c r="I824" s="3"/>
      <c r="J824" s="1"/>
      <c r="K824" s="3"/>
      <c r="L824" s="3"/>
      <c r="M824" s="3"/>
      <c r="N824" s="70"/>
      <c r="O824" s="3"/>
      <c r="P824" s="3"/>
      <c r="Q824" s="25"/>
      <c r="R824" s="1"/>
      <c r="S824" s="1"/>
      <c r="T824" s="1"/>
      <c r="U824" s="1"/>
      <c r="V824" s="3"/>
      <c r="W824" s="1"/>
      <c r="X824" s="1"/>
      <c r="Y824" s="1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81"/>
      <c r="AN824" s="81"/>
      <c r="AO824" s="81"/>
      <c r="AP824" s="81"/>
      <c r="AQ824" s="81"/>
      <c r="AR824" s="81"/>
      <c r="AS824" s="81"/>
      <c r="AT824" s="81"/>
      <c r="AU824" s="81"/>
      <c r="AV824" s="81"/>
      <c r="AW824" s="81"/>
      <c r="AX824" s="81"/>
      <c r="AY824" s="81"/>
      <c r="AZ824" s="81"/>
      <c r="BA824" s="81"/>
      <c r="BB824" s="81"/>
    </row>
    <row r="825">
      <c r="A825" s="3"/>
      <c r="B825" s="3"/>
      <c r="C825" s="3"/>
      <c r="D825" s="1"/>
      <c r="E825" s="3"/>
      <c r="F825" s="3"/>
      <c r="G825" s="136"/>
      <c r="H825" s="3"/>
      <c r="I825" s="3"/>
      <c r="J825" s="1"/>
      <c r="K825" s="3"/>
      <c r="L825" s="3"/>
      <c r="M825" s="3"/>
      <c r="N825" s="70"/>
      <c r="O825" s="3"/>
      <c r="P825" s="3"/>
      <c r="Q825" s="25"/>
      <c r="R825" s="1"/>
      <c r="S825" s="1"/>
      <c r="T825" s="1"/>
      <c r="U825" s="1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81"/>
      <c r="AN825" s="81"/>
      <c r="AO825" s="81"/>
      <c r="AP825" s="81"/>
      <c r="AQ825" s="81"/>
      <c r="AR825" s="81"/>
      <c r="AS825" s="81"/>
      <c r="AT825" s="81"/>
      <c r="AU825" s="81"/>
      <c r="AV825" s="81"/>
      <c r="AW825" s="81"/>
      <c r="AX825" s="81"/>
      <c r="AY825" s="81"/>
      <c r="AZ825" s="81"/>
      <c r="BA825" s="81"/>
      <c r="BB825" s="81"/>
    </row>
    <row r="826">
      <c r="A826" s="1"/>
      <c r="B826" s="3"/>
      <c r="C826" s="3"/>
      <c r="D826" s="1"/>
      <c r="E826" s="3"/>
      <c r="F826" s="3"/>
      <c r="G826" s="136"/>
      <c r="H826" s="3"/>
      <c r="I826" s="3"/>
      <c r="J826" s="1"/>
      <c r="K826" s="3"/>
      <c r="L826" s="3"/>
      <c r="M826" s="1"/>
      <c r="N826" s="70"/>
      <c r="O826" s="3"/>
      <c r="P826" s="3"/>
      <c r="Q826" s="25"/>
      <c r="R826" s="1"/>
      <c r="S826" s="1"/>
      <c r="T826" s="1"/>
      <c r="U826" s="1"/>
      <c r="V826" s="3"/>
      <c r="W826" s="1"/>
      <c r="X826" s="1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81"/>
      <c r="AN826" s="81"/>
      <c r="AO826" s="81"/>
      <c r="AP826" s="81"/>
      <c r="AQ826" s="81"/>
      <c r="AR826" s="81"/>
      <c r="AS826" s="81"/>
      <c r="AT826" s="81"/>
      <c r="AU826" s="81"/>
      <c r="AV826" s="81"/>
      <c r="AW826" s="81"/>
      <c r="AX826" s="81"/>
      <c r="AY826" s="81"/>
      <c r="AZ826" s="81"/>
      <c r="BA826" s="81"/>
      <c r="BB826" s="81"/>
    </row>
    <row r="827">
      <c r="A827" s="1"/>
      <c r="B827" s="3"/>
      <c r="C827" s="3"/>
      <c r="D827" s="3"/>
      <c r="E827" s="3"/>
      <c r="F827" s="3"/>
      <c r="G827" s="136"/>
      <c r="H827" s="3"/>
      <c r="I827" s="1"/>
      <c r="J827" s="1"/>
      <c r="K827" s="3"/>
      <c r="L827" s="3"/>
      <c r="M827" s="3"/>
      <c r="N827" s="70"/>
      <c r="O827" s="3"/>
      <c r="P827" s="3"/>
      <c r="Q827" s="25"/>
      <c r="R827" s="3"/>
      <c r="S827" s="3"/>
      <c r="T827" s="1"/>
      <c r="U827" s="1"/>
      <c r="V827" s="1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81"/>
      <c r="AN827" s="81"/>
      <c r="AO827" s="81"/>
      <c r="AP827" s="81"/>
      <c r="AQ827" s="81"/>
      <c r="AR827" s="81"/>
      <c r="AS827" s="81"/>
      <c r="AT827" s="81"/>
      <c r="AU827" s="81"/>
      <c r="AV827" s="81"/>
      <c r="AW827" s="81"/>
      <c r="AX827" s="81"/>
      <c r="AY827" s="81"/>
      <c r="AZ827" s="81"/>
      <c r="BA827" s="81"/>
      <c r="BB827" s="81"/>
    </row>
    <row r="828">
      <c r="A828" s="3"/>
      <c r="B828" s="3"/>
      <c r="C828" s="3"/>
      <c r="D828" s="149"/>
      <c r="E828" s="3"/>
      <c r="F828" s="3"/>
      <c r="G828" s="136"/>
      <c r="H828" s="3"/>
      <c r="I828" s="3"/>
      <c r="J828" s="3"/>
      <c r="K828" s="3"/>
      <c r="L828" s="3"/>
      <c r="M828" s="3"/>
      <c r="N828" s="70"/>
      <c r="O828" s="3"/>
      <c r="P828" s="3"/>
      <c r="Q828" s="25"/>
      <c r="R828" s="3"/>
      <c r="S828" s="1"/>
      <c r="T828" s="1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81"/>
      <c r="AN828" s="81"/>
      <c r="AO828" s="81"/>
      <c r="AP828" s="81"/>
      <c r="AQ828" s="81"/>
      <c r="AR828" s="81"/>
      <c r="AS828" s="81"/>
      <c r="AT828" s="81"/>
      <c r="AU828" s="81"/>
      <c r="AV828" s="81"/>
      <c r="AW828" s="81"/>
      <c r="AX828" s="81"/>
      <c r="AY828" s="81"/>
      <c r="AZ828" s="81"/>
      <c r="BA828" s="81"/>
      <c r="BB828" s="81"/>
    </row>
    <row r="829">
      <c r="A829" s="3"/>
      <c r="B829" s="3"/>
      <c r="C829" s="3"/>
      <c r="D829" s="3"/>
      <c r="E829" s="3"/>
      <c r="F829" s="3"/>
      <c r="G829" s="136"/>
      <c r="H829" s="3"/>
      <c r="I829" s="3"/>
      <c r="J829" s="1"/>
      <c r="K829" s="3"/>
      <c r="L829" s="3"/>
      <c r="M829" s="3"/>
      <c r="N829" s="70"/>
      <c r="O829" s="3"/>
      <c r="P829" s="3"/>
      <c r="Q829" s="25"/>
      <c r="R829" s="3"/>
      <c r="S829" s="1"/>
      <c r="T829" s="1"/>
      <c r="U829" s="1"/>
      <c r="V829" s="3"/>
      <c r="W829" s="1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81"/>
      <c r="AN829" s="81"/>
      <c r="AO829" s="81"/>
      <c r="AP829" s="81"/>
      <c r="AQ829" s="81"/>
      <c r="AR829" s="81"/>
      <c r="AS829" s="81"/>
      <c r="AT829" s="81"/>
      <c r="AU829" s="81"/>
      <c r="AV829" s="81"/>
      <c r="AW829" s="81"/>
      <c r="AX829" s="81"/>
      <c r="AY829" s="81"/>
      <c r="AZ829" s="81"/>
      <c r="BA829" s="81"/>
      <c r="BB829" s="81"/>
    </row>
    <row r="830">
      <c r="A830" s="3"/>
      <c r="B830" s="3"/>
      <c r="C830" s="3"/>
      <c r="D830" s="3"/>
      <c r="E830" s="3"/>
      <c r="F830" s="3"/>
      <c r="G830" s="136"/>
      <c r="H830" s="3"/>
      <c r="I830" s="3"/>
      <c r="J830" s="1"/>
      <c r="K830" s="3"/>
      <c r="L830" s="3"/>
      <c r="M830" s="3"/>
      <c r="N830" s="70"/>
      <c r="O830" s="3"/>
      <c r="P830" s="3"/>
      <c r="Q830" s="25"/>
      <c r="R830" s="3"/>
      <c r="S830" s="1"/>
      <c r="T830" s="1"/>
      <c r="U830" s="1"/>
      <c r="V830" s="3"/>
      <c r="W830" s="1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81"/>
      <c r="AN830" s="81"/>
      <c r="AO830" s="81"/>
      <c r="AP830" s="81"/>
      <c r="AQ830" s="81"/>
      <c r="AR830" s="81"/>
      <c r="AS830" s="81"/>
      <c r="AT830" s="81"/>
      <c r="AU830" s="81"/>
      <c r="AV830" s="81"/>
      <c r="AW830" s="81"/>
      <c r="AX830" s="81"/>
      <c r="AY830" s="81"/>
      <c r="AZ830" s="81"/>
      <c r="BA830" s="81"/>
      <c r="BB830" s="81"/>
    </row>
    <row r="831">
      <c r="A831" s="1"/>
      <c r="B831" s="3"/>
      <c r="C831" s="3"/>
      <c r="D831" s="3"/>
      <c r="E831" s="3"/>
      <c r="F831" s="3"/>
      <c r="G831" s="136"/>
      <c r="H831" s="3"/>
      <c r="I831" s="3"/>
      <c r="J831" s="1"/>
      <c r="K831" s="3"/>
      <c r="L831" s="3"/>
      <c r="M831" s="3"/>
      <c r="N831" s="70"/>
      <c r="O831" s="3"/>
      <c r="P831" s="3"/>
      <c r="Q831" s="25"/>
      <c r="R831" s="3"/>
      <c r="S831" s="1"/>
      <c r="T831" s="1"/>
      <c r="U831" s="1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81"/>
      <c r="AN831" s="81"/>
      <c r="AO831" s="81"/>
      <c r="AP831" s="81"/>
      <c r="AQ831" s="81"/>
      <c r="AR831" s="81"/>
      <c r="AS831" s="81"/>
      <c r="AT831" s="81"/>
      <c r="AU831" s="81"/>
      <c r="AV831" s="81"/>
      <c r="AW831" s="81"/>
      <c r="AX831" s="81"/>
      <c r="AY831" s="81"/>
      <c r="AZ831" s="81"/>
      <c r="BA831" s="81"/>
      <c r="BB831" s="81"/>
    </row>
    <row r="832">
      <c r="A832" s="3"/>
      <c r="B832" s="3"/>
      <c r="C832" s="3"/>
      <c r="D832" s="1"/>
      <c r="E832" s="3"/>
      <c r="F832" s="3"/>
      <c r="G832" s="136"/>
      <c r="H832" s="3"/>
      <c r="I832" s="1"/>
      <c r="J832" s="1"/>
      <c r="K832" s="3"/>
      <c r="L832" s="3"/>
      <c r="M832" s="3"/>
      <c r="N832" s="105"/>
      <c r="O832" s="1"/>
      <c r="P832" s="3"/>
      <c r="Q832" s="25"/>
      <c r="R832" s="1"/>
      <c r="S832" s="1"/>
      <c r="T832" s="1"/>
      <c r="U832" s="3"/>
      <c r="V832" s="1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J832" s="3"/>
      <c r="AK832" s="3"/>
      <c r="AL832" s="3"/>
      <c r="AM832" s="107"/>
      <c r="AN832" s="107"/>
      <c r="AO832" s="107"/>
      <c r="AP832" s="107"/>
      <c r="AQ832" s="107"/>
      <c r="AR832" s="107"/>
      <c r="AS832" s="107"/>
      <c r="AT832" s="107"/>
      <c r="AU832" s="107"/>
      <c r="AV832" s="107"/>
      <c r="AW832" s="107"/>
      <c r="AX832" s="107"/>
      <c r="AY832" s="107"/>
      <c r="AZ832" s="107"/>
      <c r="BA832" s="107"/>
      <c r="BB832" s="107"/>
    </row>
    <row r="833">
      <c r="A833" s="3"/>
      <c r="B833" s="3"/>
      <c r="C833" s="3"/>
      <c r="D833" s="3"/>
      <c r="E833" s="3"/>
      <c r="F833" s="3"/>
      <c r="G833" s="136"/>
      <c r="H833" s="3"/>
      <c r="I833" s="3"/>
      <c r="J833" s="1"/>
      <c r="K833" s="3"/>
      <c r="L833" s="3"/>
      <c r="M833" s="3"/>
      <c r="N833" s="70"/>
      <c r="O833" s="3"/>
      <c r="P833" s="3"/>
      <c r="Q833" s="25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81"/>
      <c r="AN833" s="81"/>
      <c r="AO833" s="81"/>
      <c r="AP833" s="81"/>
      <c r="AQ833" s="81"/>
      <c r="AR833" s="81"/>
      <c r="AS833" s="81"/>
      <c r="AT833" s="81"/>
      <c r="AU833" s="81"/>
      <c r="AV833" s="81"/>
      <c r="AW833" s="81"/>
      <c r="AX833" s="81"/>
      <c r="AY833" s="81"/>
      <c r="AZ833" s="81"/>
      <c r="BA833" s="81"/>
      <c r="BB833" s="81"/>
    </row>
    <row r="834">
      <c r="A834" s="121"/>
      <c r="B834" s="3"/>
      <c r="C834" s="3"/>
      <c r="D834" s="3"/>
      <c r="E834" s="3"/>
      <c r="F834" s="3"/>
      <c r="G834" s="136"/>
      <c r="H834" s="3"/>
      <c r="I834" s="1"/>
      <c r="J834" s="3"/>
      <c r="K834" s="3"/>
      <c r="L834" s="3"/>
      <c r="M834" s="3"/>
      <c r="N834" s="70"/>
      <c r="O834" s="3"/>
      <c r="P834" s="3"/>
      <c r="Q834" s="25"/>
      <c r="R834" s="1"/>
      <c r="S834" s="1"/>
      <c r="T834" s="1"/>
      <c r="U834" s="1"/>
      <c r="V834" s="1"/>
      <c r="W834" s="1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107"/>
      <c r="AN834" s="81"/>
      <c r="AO834" s="81"/>
      <c r="AP834" s="81"/>
      <c r="AQ834" s="81"/>
      <c r="AR834" s="81"/>
      <c r="AS834" s="81"/>
      <c r="AT834" s="81"/>
      <c r="AU834" s="81"/>
      <c r="AV834" s="81"/>
      <c r="AW834" s="81"/>
      <c r="AX834" s="81"/>
      <c r="AY834" s="81"/>
      <c r="AZ834" s="81"/>
      <c r="BA834" s="81"/>
      <c r="BB834" s="81"/>
    </row>
    <row r="835">
      <c r="A835" s="3"/>
      <c r="B835" s="3"/>
      <c r="C835" s="3"/>
      <c r="D835" s="3"/>
      <c r="E835" s="3"/>
      <c r="F835" s="3"/>
      <c r="G835" s="136"/>
      <c r="H835" s="3"/>
      <c r="I835" s="1"/>
      <c r="J835" s="1"/>
      <c r="K835" s="3"/>
      <c r="L835" s="3"/>
      <c r="M835" s="3"/>
      <c r="N835" s="70"/>
      <c r="O835" s="3"/>
      <c r="P835" s="3"/>
      <c r="Q835" s="25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81"/>
      <c r="AN835" s="81"/>
      <c r="AO835" s="81"/>
      <c r="AP835" s="81"/>
      <c r="AQ835" s="81"/>
      <c r="AR835" s="81"/>
      <c r="AS835" s="81"/>
      <c r="AT835" s="81"/>
      <c r="AU835" s="81"/>
      <c r="AV835" s="81"/>
      <c r="AW835" s="81"/>
      <c r="AX835" s="81"/>
      <c r="AY835" s="81"/>
      <c r="AZ835" s="81"/>
      <c r="BA835" s="81"/>
      <c r="BB835" s="81"/>
    </row>
    <row r="836">
      <c r="A836" s="3"/>
      <c r="B836" s="3"/>
      <c r="C836" s="3"/>
      <c r="D836" s="3"/>
      <c r="E836" s="3"/>
      <c r="F836" s="3"/>
      <c r="G836" s="136"/>
      <c r="H836" s="3"/>
      <c r="I836" s="3"/>
      <c r="J836" s="3"/>
      <c r="K836" s="3"/>
      <c r="L836" s="3"/>
      <c r="M836" s="3"/>
      <c r="N836" s="70"/>
      <c r="O836" s="3"/>
      <c r="P836" s="3"/>
      <c r="Q836" s="25"/>
      <c r="R836" s="3"/>
      <c r="S836" s="1"/>
      <c r="T836" s="1"/>
      <c r="U836" s="1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81"/>
      <c r="AN836" s="81"/>
      <c r="AO836" s="81"/>
      <c r="AP836" s="81"/>
      <c r="AQ836" s="81"/>
      <c r="AR836" s="81"/>
      <c r="AS836" s="81"/>
      <c r="AT836" s="81"/>
      <c r="AU836" s="81"/>
      <c r="AV836" s="81"/>
      <c r="AW836" s="81"/>
      <c r="AX836" s="81"/>
      <c r="AY836" s="81"/>
      <c r="AZ836" s="81"/>
      <c r="BA836" s="81"/>
      <c r="BB836" s="81"/>
    </row>
    <row r="837">
      <c r="A837" s="3"/>
      <c r="B837" s="3"/>
      <c r="C837" s="3"/>
      <c r="D837" s="144"/>
      <c r="E837" s="3"/>
      <c r="F837" s="3"/>
      <c r="G837" s="136"/>
      <c r="H837" s="3"/>
      <c r="I837" s="3"/>
      <c r="J837" s="1"/>
      <c r="K837" s="3"/>
      <c r="L837" s="3"/>
      <c r="M837" s="3"/>
      <c r="N837" s="105"/>
      <c r="O837" s="1"/>
      <c r="P837" s="3"/>
      <c r="Q837" s="25"/>
      <c r="R837" s="3"/>
      <c r="S837" s="1"/>
      <c r="T837" s="1"/>
      <c r="U837" s="1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81"/>
      <c r="AN837" s="81"/>
      <c r="AO837" s="81"/>
      <c r="AP837" s="81"/>
      <c r="AQ837" s="81"/>
      <c r="AR837" s="81"/>
      <c r="AS837" s="81"/>
      <c r="AT837" s="81"/>
      <c r="AU837" s="81"/>
      <c r="AV837" s="81"/>
      <c r="AW837" s="81"/>
      <c r="AX837" s="81"/>
      <c r="AY837" s="81"/>
      <c r="AZ837" s="81"/>
      <c r="BA837" s="81"/>
      <c r="BB837" s="81"/>
    </row>
    <row r="838">
      <c r="A838" s="3"/>
      <c r="B838" s="3"/>
      <c r="C838" s="3"/>
      <c r="D838" s="3"/>
      <c r="E838" s="3"/>
      <c r="F838" s="3"/>
      <c r="G838" s="136"/>
      <c r="H838" s="3"/>
      <c r="I838" s="1"/>
      <c r="J838" s="1"/>
      <c r="K838" s="3"/>
      <c r="L838" s="3"/>
      <c r="M838" s="3"/>
      <c r="N838" s="70"/>
      <c r="O838" s="3"/>
      <c r="P838" s="3"/>
      <c r="Q838" s="25"/>
      <c r="R838" s="1"/>
      <c r="S838" s="1"/>
      <c r="T838" s="1"/>
      <c r="U838" s="1"/>
      <c r="V838" s="1"/>
      <c r="W838" s="1"/>
      <c r="X838" s="1"/>
      <c r="Y838" s="1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81"/>
      <c r="AN838" s="81"/>
      <c r="AO838" s="81"/>
      <c r="AP838" s="81"/>
      <c r="AQ838" s="81"/>
      <c r="AR838" s="81"/>
      <c r="AS838" s="81"/>
      <c r="AT838" s="81"/>
      <c r="AU838" s="81"/>
      <c r="AV838" s="81"/>
      <c r="AW838" s="81"/>
      <c r="AX838" s="81"/>
      <c r="AY838" s="81"/>
      <c r="AZ838" s="81"/>
      <c r="BA838" s="81"/>
      <c r="BB838" s="81"/>
    </row>
    <row r="839">
      <c r="A839" s="3"/>
      <c r="B839" s="3"/>
      <c r="C839" s="3"/>
      <c r="D839" s="150"/>
      <c r="E839" s="70"/>
      <c r="F839" s="3"/>
      <c r="G839" s="136"/>
      <c r="H839" s="3"/>
      <c r="I839" s="3"/>
      <c r="J839" s="3"/>
      <c r="K839" s="3"/>
      <c r="L839" s="3"/>
      <c r="M839" s="3"/>
      <c r="N839" s="70"/>
      <c r="O839" s="3"/>
      <c r="P839" s="3"/>
      <c r="Q839" s="25"/>
      <c r="R839" s="3"/>
      <c r="S839" s="1"/>
      <c r="T839" s="1"/>
      <c r="U839" s="1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81"/>
      <c r="AN839" s="81"/>
      <c r="AO839" s="81"/>
      <c r="AP839" s="81"/>
      <c r="AQ839" s="81"/>
      <c r="AR839" s="81"/>
      <c r="AS839" s="81"/>
      <c r="AT839" s="81"/>
      <c r="AU839" s="81"/>
      <c r="AV839" s="81"/>
      <c r="AW839" s="81"/>
      <c r="AX839" s="81"/>
      <c r="AY839" s="81"/>
      <c r="AZ839" s="81"/>
      <c r="BA839" s="81"/>
      <c r="BB839" s="81"/>
    </row>
    <row r="840">
      <c r="A840" s="3"/>
      <c r="B840" s="3"/>
      <c r="C840" s="3"/>
      <c r="D840" s="3"/>
      <c r="E840" s="3"/>
      <c r="F840" s="3"/>
      <c r="G840" s="136"/>
      <c r="H840" s="3"/>
      <c r="I840" s="3"/>
      <c r="J840" s="3"/>
      <c r="K840" s="3"/>
      <c r="L840" s="3"/>
      <c r="M840" s="3"/>
      <c r="N840" s="70"/>
      <c r="O840" s="3"/>
      <c r="P840" s="3"/>
      <c r="Q840" s="25"/>
      <c r="R840" s="3"/>
      <c r="S840" s="3"/>
      <c r="T840" s="1"/>
      <c r="U840" s="1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81"/>
      <c r="AN840" s="81"/>
      <c r="AO840" s="81"/>
      <c r="AP840" s="81"/>
      <c r="AQ840" s="81"/>
      <c r="AR840" s="81"/>
      <c r="AS840" s="81"/>
      <c r="AT840" s="81"/>
      <c r="AU840" s="81"/>
      <c r="AV840" s="81"/>
      <c r="AW840" s="81"/>
      <c r="AX840" s="81"/>
      <c r="AY840" s="81"/>
      <c r="AZ840" s="81"/>
      <c r="BA840" s="81"/>
      <c r="BB840" s="81"/>
    </row>
    <row r="841">
      <c r="A841" s="1"/>
      <c r="B841" s="3"/>
      <c r="C841" s="3"/>
      <c r="D841" s="3"/>
      <c r="E841" s="3"/>
      <c r="F841" s="3"/>
      <c r="G841" s="136"/>
      <c r="H841" s="3"/>
      <c r="I841" s="3"/>
      <c r="J841" s="3"/>
      <c r="K841" s="3"/>
      <c r="L841" s="3"/>
      <c r="M841" s="3"/>
      <c r="N841" s="70"/>
      <c r="O841" s="3"/>
      <c r="P841" s="3"/>
      <c r="Q841" s="25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81"/>
      <c r="AN841" s="81"/>
      <c r="AO841" s="81"/>
      <c r="AP841" s="81"/>
      <c r="AQ841" s="81"/>
      <c r="AR841" s="81"/>
      <c r="AS841" s="81"/>
      <c r="AT841" s="81"/>
      <c r="AU841" s="81"/>
      <c r="AV841" s="81"/>
      <c r="AW841" s="81"/>
      <c r="AX841" s="81"/>
      <c r="AY841" s="81"/>
      <c r="AZ841" s="81"/>
      <c r="BA841" s="81"/>
      <c r="BB841" s="81"/>
    </row>
    <row r="842">
      <c r="A842" s="3"/>
      <c r="B842" s="3"/>
      <c r="C842" s="3"/>
      <c r="D842" s="3"/>
      <c r="E842" s="3"/>
      <c r="F842" s="3"/>
      <c r="G842" s="136"/>
      <c r="H842" s="3"/>
      <c r="I842" s="3"/>
      <c r="J842" s="1"/>
      <c r="K842" s="156"/>
      <c r="L842" s="3"/>
      <c r="M842" s="3"/>
      <c r="N842" s="70"/>
      <c r="O842" s="3"/>
      <c r="P842" s="3"/>
      <c r="Q842" s="25"/>
      <c r="R842" s="3"/>
      <c r="S842" s="1"/>
      <c r="T842" s="1"/>
      <c r="U842" s="1"/>
      <c r="V842" s="3"/>
      <c r="W842" s="1"/>
      <c r="X842" s="1"/>
      <c r="Y842" s="1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81"/>
      <c r="AN842" s="81"/>
      <c r="AO842" s="81"/>
      <c r="AP842" s="81"/>
      <c r="AQ842" s="81"/>
      <c r="AR842" s="81"/>
      <c r="AS842" s="81"/>
      <c r="AT842" s="81"/>
      <c r="AU842" s="81"/>
      <c r="AV842" s="81"/>
      <c r="AW842" s="81"/>
      <c r="AX842" s="81"/>
      <c r="AY842" s="81"/>
      <c r="AZ842" s="81"/>
      <c r="BA842" s="81"/>
      <c r="BB842" s="81"/>
    </row>
    <row r="843">
      <c r="A843" s="1"/>
      <c r="B843" s="3"/>
      <c r="C843" s="3"/>
      <c r="D843" s="3"/>
      <c r="E843" s="3"/>
      <c r="F843" s="3"/>
      <c r="G843" s="136"/>
      <c r="H843" s="3"/>
      <c r="I843" s="3"/>
      <c r="J843" s="3"/>
      <c r="K843" s="3"/>
      <c r="L843" s="3"/>
      <c r="M843" s="3"/>
      <c r="N843" s="105"/>
      <c r="O843" s="1"/>
      <c r="P843" s="3"/>
      <c r="Q843" s="25"/>
      <c r="R843" s="3"/>
      <c r="S843" s="1"/>
      <c r="T843" s="1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81"/>
      <c r="AN843" s="81"/>
      <c r="AO843" s="81"/>
      <c r="AP843" s="81"/>
      <c r="AQ843" s="81"/>
      <c r="AR843" s="81"/>
      <c r="AS843" s="81"/>
      <c r="AT843" s="81"/>
      <c r="AU843" s="81"/>
      <c r="AV843" s="81"/>
      <c r="AW843" s="81"/>
      <c r="AX843" s="81"/>
      <c r="AY843" s="81"/>
      <c r="AZ843" s="81"/>
      <c r="BA843" s="81"/>
      <c r="BB843" s="81"/>
    </row>
    <row r="844">
      <c r="A844" s="3"/>
      <c r="B844" s="3"/>
      <c r="C844" s="3"/>
      <c r="D844" s="3"/>
      <c r="E844" s="3"/>
      <c r="F844" s="3"/>
      <c r="G844" s="136"/>
      <c r="H844" s="3"/>
      <c r="I844" s="3"/>
      <c r="J844" s="3"/>
      <c r="K844" s="3"/>
      <c r="L844" s="3"/>
      <c r="M844" s="3"/>
      <c r="N844" s="70"/>
      <c r="O844" s="3"/>
      <c r="P844" s="3"/>
      <c r="Q844" s="25"/>
      <c r="R844" s="1"/>
      <c r="S844" s="1"/>
      <c r="T844" s="1"/>
      <c r="U844" s="1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81"/>
      <c r="AN844" s="81"/>
      <c r="AO844" s="81"/>
      <c r="AP844" s="81"/>
      <c r="AQ844" s="81"/>
      <c r="AR844" s="81"/>
      <c r="AS844" s="81"/>
      <c r="AT844" s="81"/>
      <c r="AU844" s="81"/>
      <c r="AV844" s="81"/>
      <c r="AW844" s="81"/>
      <c r="AX844" s="81"/>
      <c r="AY844" s="81"/>
      <c r="AZ844" s="81"/>
      <c r="BA844" s="81"/>
      <c r="BB844" s="81"/>
    </row>
    <row r="845">
      <c r="A845" s="3"/>
      <c r="B845" s="3"/>
      <c r="C845" s="3"/>
      <c r="D845" s="141"/>
      <c r="E845" s="3"/>
      <c r="F845" s="3"/>
      <c r="G845" s="136"/>
      <c r="H845" s="3"/>
      <c r="I845" s="3"/>
      <c r="J845" s="1"/>
      <c r="K845" s="3"/>
      <c r="L845" s="3"/>
      <c r="M845" s="3"/>
      <c r="N845" s="70"/>
      <c r="O845" s="3"/>
      <c r="P845" s="3"/>
      <c r="Q845" s="25"/>
      <c r="R845" s="3"/>
      <c r="S845" s="1"/>
      <c r="T845" s="1"/>
      <c r="U845" s="1"/>
      <c r="V845" s="3"/>
      <c r="W845" s="3"/>
      <c r="X845" s="1"/>
      <c r="Y845" s="1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81"/>
      <c r="AN845" s="81"/>
      <c r="AO845" s="81"/>
      <c r="AP845" s="81"/>
      <c r="AQ845" s="81"/>
      <c r="AR845" s="81"/>
      <c r="AS845" s="81"/>
      <c r="AT845" s="81"/>
      <c r="AU845" s="81"/>
      <c r="AV845" s="81"/>
      <c r="AW845" s="81"/>
      <c r="AX845" s="81"/>
      <c r="AY845" s="81"/>
      <c r="AZ845" s="81"/>
      <c r="BA845" s="81"/>
      <c r="BB845" s="81"/>
    </row>
    <row r="846">
      <c r="A846" s="3"/>
      <c r="B846" s="3"/>
      <c r="C846" s="3"/>
      <c r="D846" s="3"/>
      <c r="E846" s="3"/>
      <c r="F846" s="3"/>
      <c r="G846" s="136"/>
      <c r="H846" s="3"/>
      <c r="I846" s="3"/>
      <c r="J846" s="1"/>
      <c r="K846" s="3"/>
      <c r="L846" s="3"/>
      <c r="M846" s="3"/>
      <c r="N846" s="70"/>
      <c r="O846" s="3"/>
      <c r="P846" s="3"/>
      <c r="Q846" s="25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81"/>
      <c r="AN846" s="81"/>
      <c r="AO846" s="81"/>
      <c r="AP846" s="81"/>
      <c r="AQ846" s="81"/>
      <c r="AR846" s="81"/>
      <c r="AS846" s="81"/>
      <c r="AT846" s="81"/>
      <c r="AU846" s="81"/>
      <c r="AV846" s="81"/>
      <c r="AW846" s="81"/>
      <c r="AX846" s="81"/>
      <c r="AY846" s="81"/>
      <c r="AZ846" s="81"/>
      <c r="BA846" s="81"/>
      <c r="BB846" s="81"/>
    </row>
    <row r="847">
      <c r="A847" s="3"/>
      <c r="B847" s="3"/>
      <c r="C847" s="3"/>
      <c r="D847" s="3"/>
      <c r="E847" s="3"/>
      <c r="F847" s="3"/>
      <c r="G847" s="136"/>
      <c r="H847" s="3"/>
      <c r="I847" s="3"/>
      <c r="J847" s="3"/>
      <c r="K847" s="3"/>
      <c r="L847" s="3"/>
      <c r="M847" s="3"/>
      <c r="N847" s="70"/>
      <c r="O847" s="3"/>
      <c r="P847" s="3"/>
      <c r="Q847" s="25"/>
      <c r="R847" s="3"/>
      <c r="S847" s="3"/>
      <c r="T847" s="3"/>
      <c r="U847" s="3"/>
      <c r="V847" s="3"/>
      <c r="W847" s="3"/>
      <c r="X847" s="3"/>
      <c r="Y847" s="1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81"/>
      <c r="AN847" s="81"/>
      <c r="AO847" s="81"/>
      <c r="AP847" s="81"/>
      <c r="AQ847" s="81"/>
      <c r="AR847" s="81"/>
      <c r="AS847" s="81"/>
      <c r="AT847" s="81"/>
      <c r="AU847" s="81"/>
      <c r="AV847" s="81"/>
      <c r="AW847" s="81"/>
      <c r="AX847" s="81"/>
      <c r="AY847" s="81"/>
      <c r="AZ847" s="81"/>
      <c r="BA847" s="81"/>
      <c r="BB847" s="81"/>
    </row>
    <row r="848">
      <c r="A848" s="3"/>
      <c r="B848" s="3"/>
      <c r="C848" s="3"/>
      <c r="D848" s="1"/>
      <c r="E848" s="3"/>
      <c r="F848" s="3"/>
      <c r="G848" s="136"/>
      <c r="H848" s="3"/>
      <c r="I848" s="3"/>
      <c r="J848" s="3"/>
      <c r="K848" s="3"/>
      <c r="L848" s="3"/>
      <c r="M848" s="3"/>
      <c r="N848" s="70"/>
      <c r="O848" s="3"/>
      <c r="P848" s="3"/>
      <c r="Q848" s="25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81"/>
      <c r="AN848" s="81"/>
      <c r="AO848" s="81"/>
      <c r="AP848" s="81"/>
      <c r="AQ848" s="81"/>
      <c r="AR848" s="81"/>
      <c r="AS848" s="81"/>
      <c r="AT848" s="81"/>
      <c r="AU848" s="81"/>
      <c r="AV848" s="81"/>
      <c r="AW848" s="81"/>
      <c r="AX848" s="81"/>
      <c r="AY848" s="81"/>
      <c r="AZ848" s="81"/>
      <c r="BA848" s="81"/>
      <c r="BB848" s="81"/>
    </row>
    <row r="849">
      <c r="A849" s="3"/>
      <c r="B849" s="3"/>
      <c r="C849" s="3"/>
      <c r="D849" s="3"/>
      <c r="E849" s="3"/>
      <c r="F849" s="3"/>
      <c r="G849" s="136"/>
      <c r="H849" s="3"/>
      <c r="I849" s="3"/>
      <c r="J849" s="3"/>
      <c r="K849" s="3"/>
      <c r="L849" s="3"/>
      <c r="M849" s="3"/>
      <c r="N849" s="70"/>
      <c r="O849" s="3"/>
      <c r="P849" s="3"/>
      <c r="Q849" s="25"/>
      <c r="R849" s="3"/>
      <c r="S849" s="1"/>
      <c r="T849" s="1"/>
      <c r="U849" s="1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81"/>
      <c r="AN849" s="81"/>
      <c r="AO849" s="81"/>
      <c r="AP849" s="81"/>
      <c r="AQ849" s="81"/>
      <c r="AR849" s="81"/>
      <c r="AS849" s="81"/>
      <c r="AT849" s="81"/>
      <c r="AU849" s="81"/>
      <c r="AV849" s="81"/>
      <c r="AW849" s="81"/>
      <c r="AX849" s="81"/>
      <c r="AY849" s="81"/>
      <c r="AZ849" s="81"/>
      <c r="BA849" s="81"/>
      <c r="BB849" s="81"/>
    </row>
    <row r="850">
      <c r="A850" s="3"/>
      <c r="B850" s="3"/>
      <c r="C850" s="3"/>
      <c r="D850" s="3"/>
      <c r="E850" s="3"/>
      <c r="F850" s="3"/>
      <c r="G850" s="136"/>
      <c r="H850" s="3"/>
      <c r="I850" s="3"/>
      <c r="J850" s="1"/>
      <c r="K850" s="3"/>
      <c r="L850" s="3"/>
      <c r="M850" s="3"/>
      <c r="N850" s="70"/>
      <c r="O850" s="3"/>
      <c r="P850" s="3"/>
      <c r="Q850" s="25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81"/>
      <c r="AN850" s="81"/>
      <c r="AO850" s="81"/>
      <c r="AP850" s="81"/>
      <c r="AQ850" s="81"/>
      <c r="AR850" s="81"/>
      <c r="AS850" s="81"/>
      <c r="AT850" s="81"/>
      <c r="AU850" s="81"/>
      <c r="AV850" s="81"/>
      <c r="AW850" s="81"/>
      <c r="AX850" s="81"/>
      <c r="AY850" s="81"/>
      <c r="AZ850" s="81"/>
      <c r="BA850" s="81"/>
      <c r="BB850" s="81"/>
    </row>
    <row r="851">
      <c r="A851" s="1"/>
      <c r="B851" s="3"/>
      <c r="C851" s="3"/>
      <c r="D851" s="1"/>
      <c r="E851" s="3"/>
      <c r="F851" s="3"/>
      <c r="G851" s="136"/>
      <c r="H851" s="3"/>
      <c r="I851" s="3"/>
      <c r="J851" s="3"/>
      <c r="K851" s="3"/>
      <c r="L851" s="3"/>
      <c r="M851" s="3"/>
      <c r="N851" s="70"/>
      <c r="O851" s="3"/>
      <c r="P851" s="3"/>
      <c r="Q851" s="25"/>
      <c r="R851" s="3"/>
      <c r="S851" s="1"/>
      <c r="T851" s="1"/>
      <c r="U851" s="1"/>
      <c r="V851" s="3"/>
      <c r="W851" s="3"/>
      <c r="X851" s="1"/>
      <c r="Y851" s="1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107"/>
      <c r="AN851" s="81"/>
      <c r="AO851" s="81"/>
      <c r="AP851" s="81"/>
      <c r="AQ851" s="81"/>
      <c r="AR851" s="81"/>
      <c r="AS851" s="81"/>
      <c r="AT851" s="81"/>
      <c r="AU851" s="81"/>
      <c r="AV851" s="81"/>
      <c r="AW851" s="81"/>
      <c r="AX851" s="81"/>
      <c r="AY851" s="81"/>
      <c r="AZ851" s="81"/>
      <c r="BA851" s="81"/>
      <c r="BB851" s="81"/>
    </row>
    <row r="852">
      <c r="A852" s="3"/>
      <c r="B852" s="3"/>
      <c r="C852" s="3"/>
      <c r="D852" s="3"/>
      <c r="E852" s="3"/>
      <c r="F852" s="3"/>
      <c r="G852" s="136"/>
      <c r="H852" s="3"/>
      <c r="I852" s="3"/>
      <c r="J852" s="3"/>
      <c r="K852" s="3"/>
      <c r="L852" s="3"/>
      <c r="M852" s="3"/>
      <c r="N852" s="162"/>
      <c r="O852" s="1"/>
      <c r="P852" s="3"/>
      <c r="Q852" s="25"/>
      <c r="R852" s="1"/>
      <c r="S852" s="1"/>
      <c r="T852" s="3"/>
      <c r="U852" s="3"/>
      <c r="V852" s="3"/>
      <c r="W852" s="1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81"/>
      <c r="AN852" s="81"/>
      <c r="AO852" s="81"/>
      <c r="AP852" s="81"/>
      <c r="AQ852" s="81"/>
      <c r="AR852" s="81"/>
      <c r="AS852" s="81"/>
      <c r="AT852" s="81"/>
      <c r="AU852" s="81"/>
      <c r="AV852" s="81"/>
      <c r="AW852" s="81"/>
      <c r="AX852" s="81"/>
      <c r="AY852" s="81"/>
      <c r="AZ852" s="81"/>
      <c r="BA852" s="81"/>
      <c r="BB852" s="81"/>
    </row>
    <row r="853">
      <c r="A853" s="3"/>
      <c r="B853" s="3"/>
      <c r="C853" s="3"/>
      <c r="D853" s="3"/>
      <c r="E853" s="3"/>
      <c r="F853" s="3"/>
      <c r="G853" s="136"/>
      <c r="H853" s="3"/>
      <c r="I853" s="3"/>
      <c r="J853" s="1"/>
      <c r="K853" s="3"/>
      <c r="L853" s="3"/>
      <c r="M853" s="3"/>
      <c r="N853" s="70"/>
      <c r="O853" s="3"/>
      <c r="P853" s="3"/>
      <c r="Q853" s="25"/>
      <c r="R853" s="3"/>
      <c r="S853" s="1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81"/>
      <c r="AN853" s="81"/>
      <c r="AO853" s="81"/>
      <c r="AP853" s="81"/>
      <c r="AQ853" s="81"/>
      <c r="AR853" s="81"/>
      <c r="AS853" s="81"/>
      <c r="AT853" s="81"/>
      <c r="AU853" s="81"/>
      <c r="AV853" s="81"/>
      <c r="AW853" s="81"/>
      <c r="AX853" s="81"/>
      <c r="AY853" s="81"/>
      <c r="AZ853" s="81"/>
      <c r="BA853" s="81"/>
      <c r="BB853" s="81"/>
    </row>
    <row r="854">
      <c r="A854" s="3"/>
      <c r="B854" s="3"/>
      <c r="C854" s="3"/>
      <c r="D854" s="3"/>
      <c r="E854" s="3"/>
      <c r="F854" s="3"/>
      <c r="G854" s="136"/>
      <c r="H854" s="3"/>
      <c r="I854" s="3"/>
      <c r="J854" s="1"/>
      <c r="K854" s="3"/>
      <c r="L854" s="3"/>
      <c r="M854" s="3"/>
      <c r="N854" s="70"/>
      <c r="O854" s="3"/>
      <c r="P854" s="3"/>
      <c r="Q854" s="25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81"/>
      <c r="AN854" s="81"/>
      <c r="AO854" s="81"/>
      <c r="AP854" s="81"/>
      <c r="AQ854" s="81"/>
      <c r="AR854" s="81"/>
      <c r="AS854" s="81"/>
      <c r="AT854" s="81"/>
      <c r="AU854" s="81"/>
      <c r="AV854" s="81"/>
      <c r="AW854" s="81"/>
      <c r="AX854" s="81"/>
      <c r="AY854" s="81"/>
      <c r="AZ854" s="81"/>
      <c r="BA854" s="81"/>
      <c r="BB854" s="81"/>
    </row>
    <row r="855">
      <c r="A855" s="3"/>
      <c r="B855" s="3"/>
      <c r="C855" s="3"/>
      <c r="D855" s="141"/>
      <c r="E855" s="3"/>
      <c r="F855" s="3"/>
      <c r="G855" s="136"/>
      <c r="H855" s="3"/>
      <c r="I855" s="3"/>
      <c r="J855" s="3"/>
      <c r="K855" s="3"/>
      <c r="L855" s="3"/>
      <c r="M855" s="3"/>
      <c r="N855" s="105"/>
      <c r="O855" s="3"/>
      <c r="P855" s="3"/>
      <c r="Q855" s="25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81"/>
      <c r="AN855" s="81"/>
      <c r="AO855" s="81"/>
      <c r="AP855" s="81"/>
      <c r="AQ855" s="81"/>
      <c r="AR855" s="81"/>
      <c r="AS855" s="81"/>
      <c r="AT855" s="81"/>
      <c r="AU855" s="81"/>
      <c r="AV855" s="81"/>
      <c r="AW855" s="81"/>
      <c r="AX855" s="81"/>
      <c r="AY855" s="81"/>
      <c r="AZ855" s="81"/>
      <c r="BA855" s="81"/>
      <c r="BB855" s="81"/>
    </row>
    <row r="856">
      <c r="A856" s="3"/>
      <c r="B856" s="3"/>
      <c r="C856" s="3"/>
      <c r="D856" s="3"/>
      <c r="E856" s="3"/>
      <c r="F856" s="3"/>
      <c r="G856" s="136"/>
      <c r="H856" s="3"/>
      <c r="I856" s="3"/>
      <c r="J856" s="3"/>
      <c r="K856" s="3"/>
      <c r="L856" s="3"/>
      <c r="M856" s="3"/>
      <c r="N856" s="70"/>
      <c r="O856" s="3"/>
      <c r="P856" s="3"/>
      <c r="Q856" s="25"/>
      <c r="R856" s="3"/>
      <c r="S856" s="1"/>
      <c r="T856" s="1"/>
      <c r="U856" s="1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81"/>
      <c r="AN856" s="81"/>
      <c r="AO856" s="81"/>
      <c r="AP856" s="81"/>
      <c r="AQ856" s="81"/>
      <c r="AR856" s="81"/>
      <c r="AS856" s="81"/>
      <c r="AT856" s="81"/>
      <c r="AU856" s="81"/>
      <c r="AV856" s="81"/>
      <c r="AW856" s="81"/>
      <c r="AX856" s="81"/>
      <c r="AY856" s="81"/>
      <c r="AZ856" s="81"/>
      <c r="BA856" s="81"/>
      <c r="BB856" s="81"/>
    </row>
    <row r="857">
      <c r="A857" s="3"/>
      <c r="B857" s="3"/>
      <c r="C857" s="3"/>
      <c r="D857" s="141"/>
      <c r="E857" s="3"/>
      <c r="F857" s="1"/>
      <c r="G857" s="136"/>
      <c r="H857" s="3"/>
      <c r="I857" s="3"/>
      <c r="J857" s="1"/>
      <c r="K857" s="3"/>
      <c r="L857" s="3"/>
      <c r="M857" s="3"/>
      <c r="N857" s="70"/>
      <c r="O857" s="3"/>
      <c r="P857" s="3"/>
      <c r="Q857" s="25"/>
      <c r="R857" s="3"/>
      <c r="S857" s="1"/>
      <c r="T857" s="1"/>
      <c r="U857" s="1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81"/>
      <c r="AN857" s="81"/>
      <c r="AO857" s="81"/>
      <c r="AP857" s="81"/>
      <c r="AQ857" s="81"/>
      <c r="AR857" s="81"/>
      <c r="AS857" s="81"/>
      <c r="AT857" s="81"/>
      <c r="AU857" s="81"/>
      <c r="AV857" s="81"/>
      <c r="AW857" s="81"/>
      <c r="AX857" s="81"/>
      <c r="AY857" s="81"/>
      <c r="AZ857" s="81"/>
      <c r="BA857" s="81"/>
      <c r="BB857" s="81"/>
    </row>
    <row r="858">
      <c r="A858" s="3"/>
      <c r="B858" s="3"/>
      <c r="C858" s="3"/>
      <c r="D858" s="113"/>
      <c r="E858" s="3"/>
      <c r="F858" s="3"/>
      <c r="G858" s="136"/>
      <c r="H858" s="3"/>
      <c r="I858" s="3"/>
      <c r="J858" s="3"/>
      <c r="K858" s="3"/>
      <c r="L858" s="3"/>
      <c r="M858" s="3"/>
      <c r="N858" s="70"/>
      <c r="O858" s="3"/>
      <c r="P858" s="3"/>
      <c r="Q858" s="25"/>
      <c r="R858" s="3"/>
      <c r="S858" s="1"/>
      <c r="T858" s="1"/>
      <c r="U858" s="1"/>
      <c r="V858" s="3"/>
      <c r="W858" s="1"/>
      <c r="X858" s="1"/>
      <c r="Y858" s="1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81"/>
      <c r="AN858" s="81"/>
      <c r="AO858" s="81"/>
      <c r="AP858" s="81"/>
      <c r="AQ858" s="81"/>
      <c r="AR858" s="81"/>
      <c r="AS858" s="81"/>
      <c r="AT858" s="81"/>
      <c r="AU858" s="81"/>
      <c r="AV858" s="81"/>
      <c r="AW858" s="81"/>
      <c r="AX858" s="81"/>
      <c r="AY858" s="81"/>
      <c r="AZ858" s="81"/>
      <c r="BA858" s="81"/>
      <c r="BB858" s="81"/>
    </row>
    <row r="859">
      <c r="A859" s="3"/>
      <c r="B859" s="3"/>
      <c r="C859" s="3"/>
      <c r="D859" s="3"/>
      <c r="E859" s="3"/>
      <c r="F859" s="3"/>
      <c r="G859" s="136"/>
      <c r="H859" s="3"/>
      <c r="I859" s="3"/>
      <c r="J859" s="3"/>
      <c r="K859" s="3"/>
      <c r="L859" s="3"/>
      <c r="M859" s="3"/>
      <c r="N859" s="70"/>
      <c r="O859" s="3"/>
      <c r="P859" s="3"/>
      <c r="Q859" s="25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81"/>
      <c r="AN859" s="81"/>
      <c r="AO859" s="81"/>
      <c r="AP859" s="81"/>
      <c r="AQ859" s="81"/>
      <c r="AR859" s="81"/>
      <c r="AS859" s="81"/>
      <c r="AT859" s="81"/>
      <c r="AU859" s="81"/>
      <c r="AV859" s="81"/>
      <c r="AW859" s="81"/>
      <c r="AX859" s="81"/>
      <c r="AY859" s="81"/>
      <c r="AZ859" s="81"/>
      <c r="BA859" s="81"/>
      <c r="BB859" s="81"/>
    </row>
    <row r="860">
      <c r="A860" s="3"/>
      <c r="B860" s="3"/>
      <c r="C860" s="70"/>
      <c r="D860" s="159"/>
      <c r="E860" s="3"/>
      <c r="F860" s="3"/>
      <c r="G860" s="136"/>
      <c r="H860" s="3"/>
      <c r="I860" s="3"/>
      <c r="J860" s="1"/>
      <c r="K860" s="3"/>
      <c r="L860" s="3"/>
      <c r="M860" s="3"/>
      <c r="N860" s="105"/>
      <c r="O860" s="3"/>
      <c r="P860" s="3"/>
      <c r="Q860" s="25"/>
      <c r="R860" s="1"/>
      <c r="S860" s="1"/>
      <c r="T860" s="1"/>
      <c r="U860" s="1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81"/>
      <c r="AN860" s="81"/>
      <c r="AO860" s="81"/>
      <c r="AP860" s="81"/>
      <c r="AQ860" s="81"/>
      <c r="AR860" s="81"/>
      <c r="AS860" s="81"/>
      <c r="AT860" s="81"/>
      <c r="AU860" s="81"/>
      <c r="AV860" s="81"/>
      <c r="AW860" s="81"/>
      <c r="AX860" s="81"/>
      <c r="AY860" s="81"/>
      <c r="AZ860" s="81"/>
      <c r="BA860" s="81"/>
      <c r="BB860" s="81"/>
    </row>
    <row r="861">
      <c r="A861" s="3"/>
      <c r="B861" s="3"/>
      <c r="C861" s="3"/>
      <c r="D861" s="126"/>
      <c r="E861" s="3"/>
      <c r="F861" s="3"/>
      <c r="G861" s="136"/>
      <c r="H861" s="3"/>
      <c r="I861" s="3"/>
      <c r="J861" s="1"/>
      <c r="K861" s="3"/>
      <c r="L861" s="3"/>
      <c r="M861" s="3"/>
      <c r="N861" s="70"/>
      <c r="O861" s="3"/>
      <c r="P861" s="3"/>
      <c r="Q861" s="25"/>
      <c r="R861" s="3"/>
      <c r="S861" s="1"/>
      <c r="T861" s="1"/>
      <c r="U861" s="1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81"/>
      <c r="AN861" s="81"/>
      <c r="AO861" s="81"/>
      <c r="AP861" s="81"/>
      <c r="AQ861" s="81"/>
      <c r="AR861" s="81"/>
      <c r="AS861" s="81"/>
      <c r="AT861" s="81"/>
      <c r="AU861" s="81"/>
      <c r="AV861" s="81"/>
      <c r="AW861" s="81"/>
      <c r="AX861" s="81"/>
      <c r="AY861" s="81"/>
      <c r="AZ861" s="81"/>
      <c r="BA861" s="81"/>
      <c r="BB861" s="81"/>
    </row>
    <row r="862">
      <c r="A862" s="1"/>
      <c r="B862" s="3"/>
      <c r="C862" s="3"/>
      <c r="D862" s="3"/>
      <c r="E862" s="3"/>
      <c r="F862" s="3"/>
      <c r="G862" s="136"/>
      <c r="H862" s="3"/>
      <c r="I862" s="3"/>
      <c r="J862" s="1"/>
      <c r="K862" s="147"/>
      <c r="L862" s="3"/>
      <c r="M862" s="3"/>
      <c r="N862" s="70"/>
      <c r="O862" s="3"/>
      <c r="P862" s="3"/>
      <c r="Q862" s="25"/>
      <c r="R862" s="1"/>
      <c r="S862" s="1"/>
      <c r="T862" s="1"/>
      <c r="U862" s="1"/>
      <c r="V862" s="3"/>
      <c r="W862" s="1"/>
      <c r="X862" s="1"/>
      <c r="Y862" s="1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81"/>
      <c r="AN862" s="81"/>
      <c r="AO862" s="81"/>
      <c r="AP862" s="81"/>
      <c r="AQ862" s="81"/>
      <c r="AR862" s="81"/>
      <c r="AS862" s="81"/>
      <c r="AT862" s="81"/>
      <c r="AU862" s="81"/>
      <c r="AV862" s="81"/>
      <c r="AW862" s="81"/>
      <c r="AX862" s="81"/>
      <c r="AY862" s="81"/>
      <c r="AZ862" s="81"/>
      <c r="BA862" s="81"/>
      <c r="BB862" s="81"/>
    </row>
    <row r="863">
      <c r="A863" s="3"/>
      <c r="B863" s="3"/>
      <c r="C863" s="3"/>
      <c r="D863" s="140"/>
      <c r="E863" s="3"/>
      <c r="F863" s="3"/>
      <c r="G863" s="136"/>
      <c r="H863" s="3"/>
      <c r="I863" s="3"/>
      <c r="J863" s="1"/>
      <c r="K863" s="3"/>
      <c r="L863" s="3"/>
      <c r="M863" s="3"/>
      <c r="N863" s="70"/>
      <c r="O863" s="3"/>
      <c r="P863" s="3"/>
      <c r="Q863" s="25"/>
      <c r="R863" s="1"/>
      <c r="S863" s="1"/>
      <c r="T863" s="1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81"/>
      <c r="AN863" s="81"/>
      <c r="AO863" s="81"/>
      <c r="AP863" s="81"/>
      <c r="AQ863" s="81"/>
      <c r="AR863" s="81"/>
      <c r="AS863" s="81"/>
      <c r="AT863" s="81"/>
      <c r="AU863" s="81"/>
      <c r="AV863" s="81"/>
      <c r="AW863" s="81"/>
      <c r="AX863" s="81"/>
      <c r="AY863" s="81"/>
      <c r="AZ863" s="81"/>
      <c r="BA863" s="81"/>
      <c r="BB863" s="81"/>
    </row>
    <row r="864">
      <c r="A864" s="3"/>
      <c r="B864" s="3"/>
      <c r="C864" s="3"/>
      <c r="D864" s="3"/>
      <c r="E864" s="3"/>
      <c r="F864" s="3"/>
      <c r="G864" s="136"/>
      <c r="H864" s="3"/>
      <c r="I864" s="3"/>
      <c r="J864" s="1"/>
      <c r="K864" s="3"/>
      <c r="L864" s="3"/>
      <c r="M864" s="3"/>
      <c r="N864" s="70"/>
      <c r="O864" s="3"/>
      <c r="P864" s="3"/>
      <c r="Q864" s="25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81"/>
      <c r="AN864" s="81"/>
      <c r="AO864" s="81"/>
      <c r="AP864" s="81"/>
      <c r="AQ864" s="81"/>
      <c r="AR864" s="81"/>
      <c r="AS864" s="81"/>
      <c r="AT864" s="81"/>
      <c r="AU864" s="81"/>
      <c r="AV864" s="81"/>
      <c r="AW864" s="81"/>
      <c r="AX864" s="81"/>
      <c r="AY864" s="81"/>
      <c r="AZ864" s="81"/>
      <c r="BA864" s="81"/>
      <c r="BB864" s="81"/>
    </row>
    <row r="865">
      <c r="A865" s="3"/>
      <c r="B865" s="3"/>
      <c r="C865" s="3"/>
      <c r="D865" s="3"/>
      <c r="E865" s="3"/>
      <c r="F865" s="3"/>
      <c r="G865" s="136"/>
      <c r="H865" s="3"/>
      <c r="I865" s="3"/>
      <c r="J865" s="1"/>
      <c r="K865" s="3"/>
      <c r="L865" s="3"/>
      <c r="M865" s="3"/>
      <c r="N865" s="70"/>
      <c r="O865" s="3"/>
      <c r="P865" s="3"/>
      <c r="Q865" s="25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81"/>
      <c r="AN865" s="81"/>
      <c r="AO865" s="81"/>
      <c r="AP865" s="81"/>
      <c r="AQ865" s="81"/>
      <c r="AR865" s="81"/>
      <c r="AS865" s="81"/>
      <c r="AT865" s="81"/>
      <c r="AU865" s="81"/>
      <c r="AV865" s="81"/>
      <c r="AW865" s="81"/>
      <c r="AX865" s="81"/>
      <c r="AY865" s="81"/>
      <c r="AZ865" s="81"/>
      <c r="BA865" s="81"/>
      <c r="BB865" s="81"/>
    </row>
    <row r="866">
      <c r="A866" s="3"/>
      <c r="B866" s="3"/>
      <c r="C866" s="3"/>
      <c r="D866" s="1"/>
      <c r="E866" s="3"/>
      <c r="F866" s="3"/>
      <c r="G866" s="136"/>
      <c r="H866" s="3"/>
      <c r="I866" s="3"/>
      <c r="J866" s="1"/>
      <c r="K866" s="3"/>
      <c r="L866" s="3"/>
      <c r="M866" s="3"/>
      <c r="N866" s="70"/>
      <c r="O866" s="3"/>
      <c r="P866" s="3"/>
      <c r="Q866" s="25"/>
      <c r="R866" s="3"/>
      <c r="S866" s="1"/>
      <c r="T866" s="1"/>
      <c r="U866" s="1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81"/>
      <c r="AN866" s="81"/>
      <c r="AO866" s="81"/>
      <c r="AP866" s="81"/>
      <c r="AQ866" s="81"/>
      <c r="AR866" s="81"/>
      <c r="AS866" s="81"/>
      <c r="AT866" s="81"/>
      <c r="AU866" s="81"/>
      <c r="AV866" s="81"/>
      <c r="AW866" s="81"/>
      <c r="AX866" s="81"/>
      <c r="AY866" s="81"/>
      <c r="AZ866" s="81"/>
      <c r="BA866" s="81"/>
      <c r="BB866" s="81"/>
    </row>
    <row r="867">
      <c r="A867" s="3"/>
      <c r="B867" s="3"/>
      <c r="C867" s="3"/>
      <c r="D867" s="3"/>
      <c r="E867" s="3"/>
      <c r="F867" s="3"/>
      <c r="G867" s="136"/>
      <c r="H867" s="3"/>
      <c r="I867" s="3"/>
      <c r="J867" s="1"/>
      <c r="K867" s="3"/>
      <c r="L867" s="3"/>
      <c r="M867" s="3"/>
      <c r="N867" s="105"/>
      <c r="O867" s="1"/>
      <c r="P867" s="3"/>
      <c r="Q867" s="25"/>
      <c r="R867" s="3"/>
      <c r="S867" s="1"/>
      <c r="T867" s="1"/>
      <c r="U867" s="1"/>
      <c r="V867" s="3"/>
      <c r="W867" s="3"/>
      <c r="X867" s="1"/>
      <c r="Y867" s="1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81"/>
      <c r="AN867" s="81"/>
      <c r="AO867" s="81"/>
      <c r="AP867" s="81"/>
      <c r="AQ867" s="81"/>
      <c r="AR867" s="81"/>
      <c r="AS867" s="81"/>
      <c r="AT867" s="81"/>
      <c r="AU867" s="81"/>
      <c r="AV867" s="81"/>
      <c r="AW867" s="81"/>
      <c r="AX867" s="81"/>
      <c r="AY867" s="81"/>
      <c r="AZ867" s="81"/>
      <c r="BA867" s="81"/>
      <c r="BB867" s="81"/>
    </row>
    <row r="868">
      <c r="A868" s="3"/>
      <c r="B868" s="3"/>
      <c r="C868" s="3"/>
      <c r="D868" s="1"/>
      <c r="E868" s="3"/>
      <c r="F868" s="3"/>
      <c r="G868" s="136"/>
      <c r="H868" s="3"/>
      <c r="I868" s="3"/>
      <c r="J868" s="1"/>
      <c r="K868" s="3"/>
      <c r="L868" s="3"/>
      <c r="M868" s="3"/>
      <c r="N868" s="70"/>
      <c r="O868" s="3"/>
      <c r="P868" s="3"/>
      <c r="Q868" s="25"/>
      <c r="R868" s="3"/>
      <c r="S868" s="1"/>
      <c r="T868" s="1"/>
      <c r="U868" s="1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81"/>
      <c r="AN868" s="81"/>
      <c r="AO868" s="81"/>
      <c r="AP868" s="81"/>
      <c r="AQ868" s="81"/>
      <c r="AR868" s="81"/>
      <c r="AS868" s="81"/>
      <c r="AT868" s="81"/>
      <c r="AU868" s="81"/>
      <c r="AV868" s="81"/>
      <c r="AW868" s="81"/>
      <c r="AX868" s="81"/>
      <c r="AY868" s="81"/>
      <c r="AZ868" s="81"/>
      <c r="BA868" s="81"/>
      <c r="BB868" s="81"/>
    </row>
    <row r="869">
      <c r="A869" s="3"/>
      <c r="B869" s="3"/>
      <c r="C869" s="3"/>
      <c r="D869" s="1"/>
      <c r="E869" s="3"/>
      <c r="F869" s="1"/>
      <c r="G869" s="136"/>
      <c r="H869" s="3"/>
      <c r="I869" s="1"/>
      <c r="J869" s="3"/>
      <c r="K869" s="3"/>
      <c r="L869" s="3"/>
      <c r="M869" s="3"/>
      <c r="N869" s="70"/>
      <c r="O869" s="3"/>
      <c r="P869" s="3"/>
      <c r="Q869" s="25"/>
      <c r="R869" s="3"/>
      <c r="S869" s="1"/>
      <c r="T869" s="1"/>
      <c r="U869" s="1"/>
      <c r="V869" s="1"/>
      <c r="W869" s="1"/>
      <c r="X869" s="1"/>
      <c r="Y869" s="1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81"/>
      <c r="AN869" s="81"/>
      <c r="AO869" s="81"/>
      <c r="AP869" s="81"/>
      <c r="AQ869" s="81"/>
      <c r="AR869" s="81"/>
      <c r="AS869" s="81"/>
      <c r="AT869" s="81"/>
      <c r="AU869" s="81"/>
      <c r="AV869" s="81"/>
      <c r="AW869" s="81"/>
      <c r="AX869" s="81"/>
      <c r="AY869" s="81"/>
      <c r="AZ869" s="81"/>
      <c r="BA869" s="81"/>
      <c r="BB869" s="81"/>
    </row>
    <row r="870">
      <c r="A870" s="3"/>
      <c r="B870" s="3"/>
      <c r="C870" s="3"/>
      <c r="D870" s="144"/>
      <c r="E870" s="3"/>
      <c r="F870" s="3"/>
      <c r="G870" s="136"/>
      <c r="H870" s="3"/>
      <c r="I870" s="3"/>
      <c r="J870" s="3"/>
      <c r="K870" s="3"/>
      <c r="L870" s="3"/>
      <c r="M870" s="3"/>
      <c r="N870" s="70"/>
      <c r="O870" s="3"/>
      <c r="P870" s="3"/>
      <c r="Q870" s="25"/>
      <c r="R870" s="3"/>
      <c r="S870" s="1"/>
      <c r="T870" s="1"/>
      <c r="U870" s="1"/>
      <c r="V870" s="3"/>
      <c r="W870" s="3"/>
      <c r="X870" s="1"/>
      <c r="Y870" s="1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81"/>
      <c r="AN870" s="81"/>
      <c r="AO870" s="81"/>
      <c r="AP870" s="81"/>
      <c r="AQ870" s="81"/>
      <c r="AR870" s="81"/>
      <c r="AS870" s="81"/>
      <c r="AT870" s="81"/>
      <c r="AU870" s="81"/>
      <c r="AV870" s="81"/>
      <c r="AW870" s="81"/>
      <c r="AX870" s="81"/>
      <c r="AY870" s="81"/>
      <c r="AZ870" s="81"/>
      <c r="BA870" s="81"/>
      <c r="BB870" s="81"/>
    </row>
    <row r="871">
      <c r="A871" s="3"/>
      <c r="B871" s="3"/>
      <c r="C871" s="3"/>
      <c r="D871" s="144"/>
      <c r="E871" s="3"/>
      <c r="F871" s="3"/>
      <c r="G871" s="136"/>
      <c r="H871" s="3"/>
      <c r="I871" s="3"/>
      <c r="J871" s="3"/>
      <c r="K871" s="3"/>
      <c r="L871" s="3"/>
      <c r="M871" s="3"/>
      <c r="N871" s="70"/>
      <c r="O871" s="3"/>
      <c r="P871" s="3"/>
      <c r="Q871" s="25"/>
      <c r="R871" s="3"/>
      <c r="S871" s="1"/>
      <c r="T871" s="1"/>
      <c r="U871" s="1"/>
      <c r="V871" s="3"/>
      <c r="W871" s="3"/>
      <c r="X871" s="1"/>
      <c r="Y871" s="1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81"/>
      <c r="AN871" s="81"/>
      <c r="AO871" s="81"/>
      <c r="AP871" s="81"/>
      <c r="AQ871" s="81"/>
      <c r="AR871" s="81"/>
      <c r="AS871" s="81"/>
      <c r="AT871" s="81"/>
      <c r="AU871" s="81"/>
      <c r="AV871" s="81"/>
      <c r="AW871" s="81"/>
      <c r="AX871" s="81"/>
      <c r="AY871" s="81"/>
      <c r="AZ871" s="81"/>
      <c r="BA871" s="81"/>
      <c r="BB871" s="81"/>
    </row>
    <row r="872">
      <c r="A872" s="1"/>
      <c r="B872" s="3"/>
      <c r="C872" s="3"/>
      <c r="D872" s="130"/>
      <c r="E872" s="3"/>
      <c r="F872" s="3"/>
      <c r="G872" s="136"/>
      <c r="H872" s="3"/>
      <c r="I872" s="3"/>
      <c r="J872" s="1"/>
      <c r="K872" s="3"/>
      <c r="L872" s="3"/>
      <c r="M872" s="3"/>
      <c r="N872" s="105"/>
      <c r="O872" s="3"/>
      <c r="P872" s="3"/>
      <c r="Q872" s="25"/>
      <c r="R872" s="3"/>
      <c r="S872" s="3"/>
      <c r="T872" s="1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81"/>
      <c r="AN872" s="81"/>
      <c r="AO872" s="81"/>
      <c r="AP872" s="81"/>
      <c r="AQ872" s="81"/>
      <c r="AR872" s="81"/>
      <c r="AS872" s="81"/>
      <c r="AT872" s="81"/>
      <c r="AU872" s="81"/>
      <c r="AV872" s="81"/>
      <c r="AW872" s="81"/>
      <c r="AX872" s="81"/>
      <c r="AY872" s="81"/>
      <c r="AZ872" s="81"/>
      <c r="BA872" s="81"/>
      <c r="BB872" s="81"/>
    </row>
    <row r="873">
      <c r="A873" s="3"/>
      <c r="B873" s="3"/>
      <c r="C873" s="3"/>
      <c r="D873" s="144"/>
      <c r="E873" s="3"/>
      <c r="F873" s="3"/>
      <c r="G873" s="136"/>
      <c r="H873" s="3"/>
      <c r="I873" s="1"/>
      <c r="J873" s="3"/>
      <c r="K873" s="3"/>
      <c r="L873" s="3"/>
      <c r="M873" s="3"/>
      <c r="N873" s="70"/>
      <c r="O873" s="3"/>
      <c r="P873" s="3"/>
      <c r="Q873" s="25"/>
      <c r="R873" s="1"/>
      <c r="S873" s="1"/>
      <c r="T873" s="1"/>
      <c r="U873" s="1"/>
      <c r="V873" s="3"/>
      <c r="W873" s="1"/>
      <c r="X873" s="1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81"/>
      <c r="AN873" s="81"/>
      <c r="AO873" s="81"/>
      <c r="AP873" s="81"/>
      <c r="AQ873" s="81"/>
      <c r="AR873" s="81"/>
      <c r="AS873" s="81"/>
      <c r="AT873" s="81"/>
      <c r="AU873" s="81"/>
      <c r="AV873" s="81"/>
      <c r="AW873" s="81"/>
      <c r="AX873" s="81"/>
      <c r="AY873" s="81"/>
      <c r="AZ873" s="81"/>
      <c r="BA873" s="81"/>
      <c r="BB873" s="81"/>
    </row>
    <row r="874">
      <c r="A874" s="3"/>
      <c r="B874" s="1"/>
      <c r="C874" s="3"/>
      <c r="D874" s="3"/>
      <c r="E874" s="3"/>
      <c r="F874" s="3"/>
      <c r="G874" s="136"/>
      <c r="H874" s="3"/>
      <c r="I874" s="3"/>
      <c r="J874" s="1"/>
      <c r="K874" s="3"/>
      <c r="L874" s="3"/>
      <c r="M874" s="3"/>
      <c r="N874" s="105"/>
      <c r="O874" s="3"/>
      <c r="P874" s="3"/>
      <c r="Q874" s="25"/>
      <c r="R874" s="3"/>
      <c r="S874" s="1"/>
      <c r="T874" s="1"/>
      <c r="U874" s="1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81"/>
      <c r="AN874" s="81"/>
      <c r="AO874" s="81"/>
      <c r="AP874" s="81"/>
      <c r="AQ874" s="81"/>
      <c r="AR874" s="81"/>
      <c r="AS874" s="81"/>
      <c r="AT874" s="81"/>
      <c r="AU874" s="81"/>
      <c r="AV874" s="81"/>
      <c r="AW874" s="81"/>
      <c r="AX874" s="81"/>
      <c r="AY874" s="81"/>
      <c r="AZ874" s="81"/>
      <c r="BA874" s="81"/>
      <c r="BB874" s="81"/>
    </row>
    <row r="875">
      <c r="A875" s="3"/>
      <c r="B875" s="3"/>
      <c r="C875" s="3"/>
      <c r="D875" s="1"/>
      <c r="E875" s="3"/>
      <c r="F875" s="3"/>
      <c r="G875" s="136"/>
      <c r="H875" s="3"/>
      <c r="I875" s="3"/>
      <c r="J875" s="3"/>
      <c r="K875" s="3"/>
      <c r="L875" s="3"/>
      <c r="M875" s="3"/>
      <c r="N875" s="70"/>
      <c r="O875" s="3"/>
      <c r="P875" s="3"/>
      <c r="Q875" s="25"/>
      <c r="R875" s="3"/>
      <c r="S875" s="1"/>
      <c r="T875" s="1"/>
      <c r="U875" s="1"/>
      <c r="V875" s="1"/>
      <c r="W875" s="1"/>
      <c r="X875" s="1"/>
      <c r="Y875" s="1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81"/>
      <c r="AN875" s="81"/>
      <c r="AO875" s="81"/>
      <c r="AP875" s="81"/>
      <c r="AQ875" s="81"/>
      <c r="AR875" s="81"/>
      <c r="AS875" s="81"/>
      <c r="AT875" s="81"/>
      <c r="AU875" s="81"/>
      <c r="AV875" s="81"/>
      <c r="AW875" s="81"/>
      <c r="AX875" s="81"/>
      <c r="AY875" s="81"/>
      <c r="AZ875" s="81"/>
      <c r="BA875" s="81"/>
      <c r="BB875" s="81"/>
    </row>
    <row r="876">
      <c r="A876" s="3"/>
      <c r="B876" s="3"/>
      <c r="C876" s="3"/>
      <c r="D876" s="1"/>
      <c r="E876" s="3"/>
      <c r="F876" s="3"/>
      <c r="G876" s="136"/>
      <c r="H876" s="3"/>
      <c r="I876" s="1"/>
      <c r="J876" s="1"/>
      <c r="K876" s="3"/>
      <c r="L876" s="3"/>
      <c r="M876" s="1"/>
      <c r="N876" s="70"/>
      <c r="O876" s="3"/>
      <c r="P876" s="3"/>
      <c r="Q876" s="25"/>
      <c r="R876" s="3"/>
      <c r="S876" s="3"/>
      <c r="T876" s="3"/>
      <c r="U876" s="3"/>
      <c r="V876" s="3"/>
      <c r="W876" s="3"/>
      <c r="X876" s="3"/>
      <c r="Y876" s="1"/>
      <c r="Z876" s="3"/>
      <c r="AA876" s="3"/>
      <c r="AB876" s="3"/>
      <c r="AC876" s="3"/>
      <c r="AD876" s="3"/>
      <c r="AE876" s="3"/>
      <c r="AF876" s="3"/>
      <c r="AG876" s="1"/>
      <c r="AH876" s="3"/>
      <c r="AI876" s="1"/>
      <c r="AJ876" s="3"/>
      <c r="AK876" s="1"/>
      <c r="AL876" s="3"/>
      <c r="AM876" s="81"/>
      <c r="AN876" s="81"/>
      <c r="AO876" s="81"/>
      <c r="AP876" s="81"/>
      <c r="AQ876" s="81"/>
      <c r="AR876" s="81"/>
      <c r="AS876" s="81"/>
      <c r="AT876" s="81"/>
      <c r="AU876" s="81"/>
      <c r="AV876" s="81"/>
      <c r="AW876" s="81"/>
      <c r="AX876" s="81"/>
      <c r="AY876" s="81"/>
      <c r="AZ876" s="81"/>
      <c r="BA876" s="81"/>
      <c r="BB876" s="81"/>
    </row>
    <row r="877">
      <c r="A877" s="3"/>
      <c r="B877" s="3"/>
      <c r="C877" s="3"/>
      <c r="D877" s="1"/>
      <c r="E877" s="3"/>
      <c r="F877" s="3"/>
      <c r="G877" s="136"/>
      <c r="H877" s="3"/>
      <c r="I877" s="1"/>
      <c r="J877" s="1"/>
      <c r="K877" s="3"/>
      <c r="L877" s="3"/>
      <c r="M877" s="3"/>
      <c r="N877" s="105"/>
      <c r="O877" s="1"/>
      <c r="P877" s="3"/>
      <c r="Q877" s="25"/>
      <c r="R877" s="1"/>
      <c r="S877" s="1"/>
      <c r="T877" s="1"/>
      <c r="U877" s="1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81"/>
      <c r="AN877" s="81"/>
      <c r="AO877" s="81"/>
      <c r="AP877" s="81"/>
      <c r="AQ877" s="81"/>
      <c r="AR877" s="81"/>
      <c r="AS877" s="81"/>
      <c r="AT877" s="81"/>
      <c r="AU877" s="81"/>
      <c r="AV877" s="81"/>
      <c r="AW877" s="81"/>
      <c r="AX877" s="81"/>
      <c r="AY877" s="81"/>
      <c r="AZ877" s="81"/>
      <c r="BA877" s="81"/>
      <c r="BB877" s="81"/>
    </row>
    <row r="878">
      <c r="A878" s="3"/>
      <c r="B878" s="3"/>
      <c r="C878" s="3"/>
      <c r="D878" s="3"/>
      <c r="E878" s="3"/>
      <c r="F878" s="3"/>
      <c r="G878" s="136"/>
      <c r="H878" s="3"/>
      <c r="I878" s="3"/>
      <c r="J878" s="3"/>
      <c r="K878" s="3"/>
      <c r="L878" s="3"/>
      <c r="M878" s="3"/>
      <c r="N878" s="70"/>
      <c r="O878" s="3"/>
      <c r="P878" s="3"/>
      <c r="Q878" s="25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81"/>
      <c r="AN878" s="81"/>
      <c r="AO878" s="81"/>
      <c r="AP878" s="81"/>
      <c r="AQ878" s="81"/>
      <c r="AR878" s="81"/>
      <c r="AS878" s="81"/>
      <c r="AT878" s="81"/>
      <c r="AU878" s="81"/>
      <c r="AV878" s="81"/>
      <c r="AW878" s="81"/>
      <c r="AX878" s="81"/>
      <c r="AY878" s="81"/>
      <c r="AZ878" s="81"/>
      <c r="BA878" s="81"/>
      <c r="BB878" s="81"/>
    </row>
    <row r="879">
      <c r="A879" s="3"/>
      <c r="B879" s="3"/>
      <c r="C879" s="3"/>
      <c r="D879" s="3"/>
      <c r="E879" s="3"/>
      <c r="F879" s="3"/>
      <c r="G879" s="136"/>
      <c r="H879" s="3"/>
      <c r="I879" s="3"/>
      <c r="J879" s="3"/>
      <c r="K879" s="3"/>
      <c r="L879" s="3"/>
      <c r="M879" s="3"/>
      <c r="N879" s="105"/>
      <c r="O879" s="1"/>
      <c r="P879" s="3"/>
      <c r="Q879" s="25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81"/>
      <c r="AN879" s="81"/>
      <c r="AO879" s="81"/>
      <c r="AP879" s="81"/>
      <c r="AQ879" s="81"/>
      <c r="AR879" s="81"/>
      <c r="AS879" s="81"/>
      <c r="AT879" s="81"/>
      <c r="AU879" s="81"/>
      <c r="AV879" s="81"/>
      <c r="AW879" s="81"/>
      <c r="AX879" s="81"/>
      <c r="AY879" s="81"/>
      <c r="AZ879" s="81"/>
      <c r="BA879" s="81"/>
      <c r="BB879" s="81"/>
    </row>
    <row r="880">
      <c r="A880" s="3"/>
      <c r="B880" s="3"/>
      <c r="C880" s="3"/>
      <c r="D880" s="1"/>
      <c r="E880" s="3"/>
      <c r="F880" s="3"/>
      <c r="G880" s="136"/>
      <c r="H880" s="3"/>
      <c r="I880" s="3"/>
      <c r="J880" s="1"/>
      <c r="K880" s="3"/>
      <c r="L880" s="3"/>
      <c r="M880" s="3"/>
      <c r="N880" s="70"/>
      <c r="O880" s="3"/>
      <c r="P880" s="3"/>
      <c r="Q880" s="25"/>
      <c r="R880" s="3"/>
      <c r="S880" s="1"/>
      <c r="T880" s="1"/>
      <c r="U880" s="1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81"/>
      <c r="AN880" s="81"/>
      <c r="AO880" s="81"/>
      <c r="AP880" s="81"/>
      <c r="AQ880" s="81"/>
      <c r="AR880" s="81"/>
      <c r="AS880" s="81"/>
      <c r="AT880" s="81"/>
      <c r="AU880" s="81"/>
      <c r="AV880" s="81"/>
      <c r="AW880" s="81"/>
      <c r="AX880" s="81"/>
      <c r="AY880" s="81"/>
      <c r="AZ880" s="81"/>
      <c r="BA880" s="81"/>
      <c r="BB880" s="81"/>
    </row>
    <row r="881">
      <c r="A881" s="3"/>
      <c r="B881" s="3"/>
      <c r="C881" s="3"/>
      <c r="D881" s="3"/>
      <c r="E881" s="3"/>
      <c r="F881" s="3"/>
      <c r="G881" s="136"/>
      <c r="H881" s="3"/>
      <c r="I881" s="3"/>
      <c r="J881" s="1"/>
      <c r="K881" s="3"/>
      <c r="L881" s="3"/>
      <c r="M881" s="3"/>
      <c r="N881" s="70"/>
      <c r="O881" s="3"/>
      <c r="P881" s="3"/>
      <c r="Q881" s="25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1"/>
      <c r="AH881" s="3"/>
      <c r="AI881" s="1"/>
      <c r="AJ881" s="3"/>
      <c r="AK881" s="1"/>
      <c r="AL881" s="3"/>
      <c r="AM881" s="81"/>
      <c r="AN881" s="81"/>
      <c r="AO881" s="81"/>
      <c r="AP881" s="81"/>
      <c r="AQ881" s="81"/>
      <c r="AR881" s="81"/>
      <c r="AS881" s="81"/>
      <c r="AT881" s="81"/>
      <c r="AU881" s="81"/>
      <c r="AV881" s="81"/>
      <c r="AW881" s="81"/>
      <c r="AX881" s="81"/>
      <c r="AY881" s="81"/>
      <c r="AZ881" s="81"/>
      <c r="BA881" s="81"/>
      <c r="BB881" s="81"/>
    </row>
    <row r="882">
      <c r="A882" s="3"/>
      <c r="B882" s="3"/>
      <c r="C882" s="3"/>
      <c r="D882" s="113"/>
      <c r="E882" s="3"/>
      <c r="F882" s="3"/>
      <c r="G882" s="136"/>
      <c r="H882" s="3"/>
      <c r="I882" s="3"/>
      <c r="J882" s="3"/>
      <c r="K882" s="3"/>
      <c r="L882" s="3"/>
      <c r="M882" s="3"/>
      <c r="N882" s="70"/>
      <c r="O882" s="3"/>
      <c r="P882" s="3"/>
      <c r="Q882" s="25"/>
      <c r="R882" s="3"/>
      <c r="S882" s="1"/>
      <c r="T882" s="1"/>
      <c r="U882" s="1"/>
      <c r="V882" s="3"/>
      <c r="W882" s="1"/>
      <c r="X882" s="1"/>
      <c r="Y882" s="1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81"/>
      <c r="AN882" s="81"/>
      <c r="AO882" s="81"/>
      <c r="AP882" s="81"/>
      <c r="AQ882" s="81"/>
      <c r="AR882" s="81"/>
      <c r="AS882" s="81"/>
      <c r="AT882" s="81"/>
      <c r="AU882" s="81"/>
      <c r="AV882" s="81"/>
      <c r="AW882" s="81"/>
      <c r="AX882" s="81"/>
      <c r="AY882" s="81"/>
      <c r="AZ882" s="81"/>
      <c r="BA882" s="81"/>
      <c r="BB882" s="81"/>
    </row>
    <row r="883">
      <c r="A883" s="3"/>
      <c r="B883" s="3"/>
      <c r="C883" s="3"/>
      <c r="D883" s="3"/>
      <c r="E883" s="3"/>
      <c r="F883" s="3"/>
      <c r="G883" s="136"/>
      <c r="H883" s="3"/>
      <c r="I883" s="3"/>
      <c r="J883" s="1"/>
      <c r="K883" s="3"/>
      <c r="L883" s="3"/>
      <c r="M883" s="3"/>
      <c r="N883" s="70"/>
      <c r="O883" s="3"/>
      <c r="P883" s="3"/>
      <c r="Q883" s="25"/>
      <c r="R883" s="3"/>
      <c r="S883" s="1"/>
      <c r="T883" s="1"/>
      <c r="U883" s="1"/>
      <c r="V883" s="3"/>
      <c r="W883" s="3"/>
      <c r="X883" s="1"/>
      <c r="Y883" s="1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81"/>
      <c r="AN883" s="81"/>
      <c r="AO883" s="81"/>
      <c r="AP883" s="81"/>
      <c r="AQ883" s="81"/>
      <c r="AR883" s="81"/>
      <c r="AS883" s="81"/>
      <c r="AT883" s="81"/>
      <c r="AU883" s="81"/>
      <c r="AV883" s="81"/>
      <c r="AW883" s="81"/>
      <c r="AX883" s="81"/>
      <c r="AY883" s="81"/>
      <c r="AZ883" s="81"/>
      <c r="BA883" s="81"/>
      <c r="BB883" s="81"/>
    </row>
    <row r="884">
      <c r="A884" s="3"/>
      <c r="B884" s="3"/>
      <c r="C884" s="3"/>
      <c r="D884" s="3"/>
      <c r="E884" s="3"/>
      <c r="F884" s="3"/>
      <c r="G884" s="136"/>
      <c r="H884" s="3"/>
      <c r="I884" s="3"/>
      <c r="J884" s="1"/>
      <c r="K884" s="3"/>
      <c r="L884" s="3"/>
      <c r="M884" s="3"/>
      <c r="N884" s="70"/>
      <c r="O884" s="3"/>
      <c r="P884" s="3"/>
      <c r="Q884" s="25"/>
      <c r="R884" s="3"/>
      <c r="S884" s="1"/>
      <c r="T884" s="1"/>
      <c r="U884" s="1"/>
      <c r="V884" s="3"/>
      <c r="W884" s="3"/>
      <c r="X884" s="1"/>
      <c r="Y884" s="1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81"/>
      <c r="AN884" s="81"/>
      <c r="AO884" s="81"/>
      <c r="AP884" s="81"/>
      <c r="AQ884" s="81"/>
      <c r="AR884" s="81"/>
      <c r="AS884" s="81"/>
      <c r="AT884" s="81"/>
      <c r="AU884" s="81"/>
      <c r="AV884" s="81"/>
      <c r="AW884" s="81"/>
      <c r="AX884" s="81"/>
      <c r="AY884" s="81"/>
      <c r="AZ884" s="81"/>
      <c r="BA884" s="81"/>
      <c r="BB884" s="81"/>
    </row>
    <row r="885">
      <c r="A885" s="1"/>
      <c r="B885" s="3"/>
      <c r="C885" s="3"/>
      <c r="D885" s="3"/>
      <c r="E885" s="3"/>
      <c r="F885" s="3"/>
      <c r="G885" s="136"/>
      <c r="H885" s="3"/>
      <c r="I885" s="3"/>
      <c r="J885" s="3"/>
      <c r="K885" s="3"/>
      <c r="L885" s="3"/>
      <c r="M885" s="3"/>
      <c r="N885" s="70"/>
      <c r="O885" s="3"/>
      <c r="P885" s="3"/>
      <c r="Q885" s="25"/>
      <c r="R885" s="3"/>
      <c r="S885" s="1"/>
      <c r="T885" s="1"/>
      <c r="U885" s="1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81"/>
      <c r="AN885" s="81"/>
      <c r="AO885" s="81"/>
      <c r="AP885" s="81"/>
      <c r="AQ885" s="81"/>
      <c r="AR885" s="81"/>
      <c r="AS885" s="81"/>
      <c r="AT885" s="81"/>
      <c r="AU885" s="81"/>
      <c r="AV885" s="81"/>
      <c r="AW885" s="81"/>
      <c r="AX885" s="81"/>
      <c r="AY885" s="81"/>
      <c r="AZ885" s="81"/>
      <c r="BA885" s="81"/>
      <c r="BB885" s="81"/>
    </row>
    <row r="886">
      <c r="A886" s="3"/>
      <c r="B886" s="1"/>
      <c r="C886" s="3"/>
      <c r="D886" s="3"/>
      <c r="E886" s="3"/>
      <c r="F886" s="3"/>
      <c r="G886" s="136"/>
      <c r="H886" s="3"/>
      <c r="I886" s="3"/>
      <c r="J886" s="1"/>
      <c r="K886" s="3"/>
      <c r="L886" s="3"/>
      <c r="M886" s="3"/>
      <c r="N886" s="70"/>
      <c r="O886" s="3"/>
      <c r="P886" s="3"/>
      <c r="Q886" s="25"/>
      <c r="R886" s="1"/>
      <c r="S886" s="1"/>
      <c r="T886" s="1"/>
      <c r="U886" s="3"/>
      <c r="V886" s="3"/>
      <c r="W886" s="1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81"/>
      <c r="AN886" s="81"/>
      <c r="AO886" s="81"/>
      <c r="AP886" s="81"/>
      <c r="AQ886" s="81"/>
      <c r="AR886" s="81"/>
      <c r="AS886" s="81"/>
      <c r="AT886" s="81"/>
      <c r="AU886" s="81"/>
      <c r="AV886" s="81"/>
      <c r="AW886" s="81"/>
      <c r="AX886" s="81"/>
      <c r="AY886" s="81"/>
      <c r="AZ886" s="81"/>
      <c r="BA886" s="81"/>
      <c r="BB886" s="81"/>
    </row>
    <row r="887">
      <c r="A887" s="3"/>
      <c r="B887" s="3"/>
      <c r="C887" s="3"/>
      <c r="D887" s="1"/>
      <c r="E887" s="3"/>
      <c r="F887" s="3"/>
      <c r="G887" s="136"/>
      <c r="H887" s="3"/>
      <c r="I887" s="3"/>
      <c r="J887" s="3"/>
      <c r="K887" s="3"/>
      <c r="L887" s="3"/>
      <c r="M887" s="3"/>
      <c r="N887" s="70"/>
      <c r="O887" s="3"/>
      <c r="P887" s="3"/>
      <c r="Q887" s="25"/>
      <c r="R887" s="3"/>
      <c r="S887" s="1"/>
      <c r="T887" s="1"/>
      <c r="U887" s="1"/>
      <c r="V887" s="3"/>
      <c r="W887" s="3"/>
      <c r="X887" s="1"/>
      <c r="Y887" s="1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81"/>
      <c r="AN887" s="81"/>
      <c r="AO887" s="81"/>
      <c r="AP887" s="81"/>
      <c r="AQ887" s="81"/>
      <c r="AR887" s="81"/>
      <c r="AS887" s="81"/>
      <c r="AT887" s="81"/>
      <c r="AU887" s="81"/>
      <c r="AV887" s="81"/>
      <c r="AW887" s="81"/>
      <c r="AX887" s="81"/>
      <c r="AY887" s="81"/>
      <c r="AZ887" s="81"/>
      <c r="BA887" s="81"/>
      <c r="BB887" s="81"/>
    </row>
    <row r="888">
      <c r="A888" s="3"/>
      <c r="B888" s="3"/>
      <c r="C888" s="3"/>
      <c r="D888" s="3"/>
      <c r="E888" s="3"/>
      <c r="F888" s="3"/>
      <c r="G888" s="136"/>
      <c r="H888" s="3"/>
      <c r="I888" s="3"/>
      <c r="J888" s="3"/>
      <c r="K888" s="3"/>
      <c r="L888" s="3"/>
      <c r="M888" s="3"/>
      <c r="N888" s="70"/>
      <c r="O888" s="3"/>
      <c r="P888" s="3"/>
      <c r="Q888" s="25"/>
      <c r="R888" s="3"/>
      <c r="S888" s="3"/>
      <c r="T888" s="1"/>
      <c r="U888" s="1"/>
      <c r="V888" s="3"/>
      <c r="W888" s="3"/>
      <c r="X888" s="1"/>
      <c r="Y888" s="1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81"/>
      <c r="AN888" s="81"/>
      <c r="AO888" s="81"/>
      <c r="AP888" s="81"/>
      <c r="AQ888" s="81"/>
      <c r="AR888" s="81"/>
      <c r="AS888" s="81"/>
      <c r="AT888" s="81"/>
      <c r="AU888" s="81"/>
      <c r="AV888" s="81"/>
      <c r="AW888" s="81"/>
      <c r="AX888" s="81"/>
      <c r="AY888" s="81"/>
      <c r="AZ888" s="81"/>
      <c r="BA888" s="81"/>
      <c r="BB888" s="81"/>
    </row>
    <row r="889">
      <c r="A889" s="3"/>
      <c r="B889" s="3"/>
      <c r="C889" s="3"/>
      <c r="D889" s="3"/>
      <c r="E889" s="3"/>
      <c r="F889" s="3"/>
      <c r="G889" s="136"/>
      <c r="H889" s="3"/>
      <c r="I889" s="3"/>
      <c r="J889" s="3"/>
      <c r="K889" s="3"/>
      <c r="L889" s="3"/>
      <c r="M889" s="3"/>
      <c r="N889" s="70"/>
      <c r="O889" s="3"/>
      <c r="P889" s="3"/>
      <c r="Q889" s="25"/>
      <c r="R889" s="1"/>
      <c r="S889" s="1"/>
      <c r="T889" s="1"/>
      <c r="U889" s="3"/>
      <c r="V889" s="3"/>
      <c r="W889" s="1"/>
      <c r="X889" s="1"/>
      <c r="Y889" s="1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81"/>
      <c r="AN889" s="81"/>
      <c r="AO889" s="81"/>
      <c r="AP889" s="81"/>
      <c r="AQ889" s="81"/>
      <c r="AR889" s="81"/>
      <c r="AS889" s="81"/>
      <c r="AT889" s="81"/>
      <c r="AU889" s="81"/>
      <c r="AV889" s="81"/>
      <c r="AW889" s="81"/>
      <c r="AX889" s="81"/>
      <c r="AY889" s="81"/>
      <c r="AZ889" s="81"/>
      <c r="BA889" s="81"/>
      <c r="BB889" s="81"/>
    </row>
    <row r="890">
      <c r="A890" s="3"/>
      <c r="B890" s="1"/>
      <c r="C890" s="3"/>
      <c r="D890" s="141"/>
      <c r="E890" s="1"/>
      <c r="F890" s="3"/>
      <c r="G890" s="136"/>
      <c r="H890" s="3"/>
      <c r="I890" s="163"/>
      <c r="J890" s="1"/>
      <c r="K890" s="3"/>
      <c r="L890" s="3"/>
      <c r="M890" s="3"/>
      <c r="N890" s="70"/>
      <c r="O890" s="3"/>
      <c r="P890" s="3"/>
      <c r="Q890" s="25"/>
      <c r="R890" s="1"/>
      <c r="S890" s="1"/>
      <c r="T890" s="1"/>
      <c r="U890" s="1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81"/>
      <c r="AN890" s="81"/>
      <c r="AO890" s="81"/>
      <c r="AP890" s="81"/>
      <c r="AQ890" s="81"/>
      <c r="AR890" s="81"/>
      <c r="AS890" s="81"/>
      <c r="AT890" s="81"/>
      <c r="AU890" s="81"/>
      <c r="AV890" s="81"/>
      <c r="AW890" s="81"/>
      <c r="AX890" s="81"/>
      <c r="AY890" s="81"/>
      <c r="AZ890" s="81"/>
      <c r="BA890" s="81"/>
      <c r="BB890" s="81"/>
    </row>
    <row r="891">
      <c r="A891" s="3"/>
      <c r="B891" s="3"/>
      <c r="C891" s="3"/>
      <c r="D891" s="3"/>
      <c r="E891" s="3"/>
      <c r="F891" s="3"/>
      <c r="G891" s="136"/>
      <c r="H891" s="3"/>
      <c r="I891" s="3"/>
      <c r="J891" s="3"/>
      <c r="K891" s="3"/>
      <c r="L891" s="3"/>
      <c r="M891" s="3"/>
      <c r="N891" s="70"/>
      <c r="O891" s="3"/>
      <c r="P891" s="3"/>
      <c r="Q891" s="25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81"/>
      <c r="AN891" s="81"/>
      <c r="AO891" s="81"/>
      <c r="AP891" s="81"/>
      <c r="AQ891" s="81"/>
      <c r="AR891" s="81"/>
      <c r="AS891" s="81"/>
      <c r="AT891" s="81"/>
      <c r="AU891" s="81"/>
      <c r="AV891" s="81"/>
      <c r="AW891" s="81"/>
      <c r="AX891" s="81"/>
      <c r="AY891" s="81"/>
      <c r="AZ891" s="81"/>
      <c r="BA891" s="81"/>
      <c r="BB891" s="81"/>
    </row>
    <row r="892">
      <c r="A892" s="3"/>
      <c r="B892" s="3"/>
      <c r="C892" s="3"/>
      <c r="D892" s="1"/>
      <c r="E892" s="3"/>
      <c r="F892" s="3"/>
      <c r="G892" s="136"/>
      <c r="H892" s="3"/>
      <c r="I892" s="3"/>
      <c r="J892" s="3"/>
      <c r="K892" s="3"/>
      <c r="L892" s="3"/>
      <c r="M892" s="3"/>
      <c r="N892" s="70"/>
      <c r="O892" s="3"/>
      <c r="P892" s="3"/>
      <c r="Q892" s="142"/>
      <c r="R892" s="3"/>
      <c r="S892" s="3"/>
      <c r="T892" s="1"/>
      <c r="U892" s="1"/>
      <c r="V892" s="3"/>
      <c r="W892" s="3"/>
      <c r="X892" s="1"/>
      <c r="Y892" s="1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81"/>
      <c r="AN892" s="81"/>
      <c r="AO892" s="81"/>
      <c r="AP892" s="81"/>
      <c r="AQ892" s="81"/>
      <c r="AR892" s="81"/>
      <c r="AS892" s="81"/>
      <c r="AT892" s="81"/>
      <c r="AU892" s="81"/>
      <c r="AV892" s="81"/>
      <c r="AW892" s="81"/>
      <c r="AX892" s="81"/>
      <c r="AY892" s="81"/>
      <c r="AZ892" s="81"/>
      <c r="BA892" s="81"/>
      <c r="BB892" s="81"/>
    </row>
    <row r="893">
      <c r="A893" s="3"/>
      <c r="B893" s="3"/>
      <c r="C893" s="3"/>
      <c r="D893" s="3"/>
      <c r="E893" s="3"/>
      <c r="F893" s="3"/>
      <c r="G893" s="136"/>
      <c r="H893" s="3"/>
      <c r="I893" s="3"/>
      <c r="J893" s="3"/>
      <c r="K893" s="3"/>
      <c r="L893" s="3"/>
      <c r="M893" s="3"/>
      <c r="N893" s="70"/>
      <c r="O893" s="3"/>
      <c r="P893" s="3"/>
      <c r="Q893" s="25"/>
      <c r="R893" s="1"/>
      <c r="S893" s="1"/>
      <c r="T893" s="1"/>
      <c r="U893" s="3"/>
      <c r="V893" s="3"/>
      <c r="W893" s="1"/>
      <c r="X893" s="1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81"/>
      <c r="AN893" s="81"/>
      <c r="AO893" s="81"/>
      <c r="AP893" s="81"/>
      <c r="AQ893" s="81"/>
      <c r="AR893" s="81"/>
      <c r="AS893" s="81"/>
      <c r="AT893" s="81"/>
      <c r="AU893" s="81"/>
      <c r="AV893" s="81"/>
      <c r="AW893" s="81"/>
      <c r="AX893" s="81"/>
      <c r="AY893" s="81"/>
      <c r="AZ893" s="81"/>
      <c r="BA893" s="81"/>
      <c r="BB893" s="81"/>
    </row>
    <row r="894">
      <c r="A894" s="3"/>
      <c r="B894" s="3"/>
      <c r="C894" s="3"/>
      <c r="D894" s="3"/>
      <c r="E894" s="3"/>
      <c r="F894" s="3"/>
      <c r="G894" s="136"/>
      <c r="H894" s="3"/>
      <c r="I894" s="3"/>
      <c r="J894" s="3"/>
      <c r="K894" s="3"/>
      <c r="L894" s="3"/>
      <c r="M894" s="3"/>
      <c r="N894" s="70"/>
      <c r="O894" s="3"/>
      <c r="P894" s="3"/>
      <c r="Q894" s="25"/>
      <c r="R894" s="3"/>
      <c r="S894" s="3"/>
      <c r="T894" s="1"/>
      <c r="U894" s="1"/>
      <c r="V894" s="3"/>
      <c r="W894" s="3"/>
      <c r="X894" s="3"/>
      <c r="Y894" s="1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81"/>
      <c r="AN894" s="81"/>
      <c r="AO894" s="81"/>
      <c r="AP894" s="81"/>
      <c r="AQ894" s="81"/>
      <c r="AR894" s="81"/>
      <c r="AS894" s="81"/>
      <c r="AT894" s="81"/>
      <c r="AU894" s="81"/>
      <c r="AV894" s="81"/>
      <c r="AW894" s="81"/>
      <c r="AX894" s="81"/>
      <c r="AY894" s="81"/>
      <c r="AZ894" s="81"/>
      <c r="BA894" s="81"/>
      <c r="BB894" s="81"/>
    </row>
    <row r="895">
      <c r="A895" s="3"/>
      <c r="B895" s="3"/>
      <c r="C895" s="3"/>
      <c r="D895" s="3"/>
      <c r="E895" s="3"/>
      <c r="F895" s="3"/>
      <c r="G895" s="136"/>
      <c r="H895" s="3"/>
      <c r="I895" s="3"/>
      <c r="J895" s="3"/>
      <c r="K895" s="3"/>
      <c r="L895" s="3"/>
      <c r="M895" s="3"/>
      <c r="N895" s="70"/>
      <c r="O895" s="3"/>
      <c r="P895" s="3"/>
      <c r="Q895" s="25"/>
      <c r="R895" s="3"/>
      <c r="S895" s="1"/>
      <c r="T895" s="1"/>
      <c r="U895" s="1"/>
      <c r="V895" s="3"/>
      <c r="W895" s="1"/>
      <c r="X895" s="1"/>
      <c r="Y895" s="1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81"/>
      <c r="AN895" s="81"/>
      <c r="AO895" s="81"/>
      <c r="AP895" s="81"/>
      <c r="AQ895" s="81"/>
      <c r="AR895" s="81"/>
      <c r="AS895" s="81"/>
      <c r="AT895" s="81"/>
      <c r="AU895" s="81"/>
      <c r="AV895" s="81"/>
      <c r="AW895" s="81"/>
      <c r="AX895" s="81"/>
      <c r="AY895" s="81"/>
      <c r="AZ895" s="81"/>
      <c r="BA895" s="81"/>
      <c r="BB895" s="81"/>
    </row>
    <row r="896">
      <c r="A896" s="3"/>
      <c r="B896" s="3"/>
      <c r="C896" s="3"/>
      <c r="D896" s="3"/>
      <c r="E896" s="3"/>
      <c r="F896" s="3"/>
      <c r="G896" s="136"/>
      <c r="H896" s="3"/>
      <c r="I896" s="1"/>
      <c r="J896" s="1"/>
      <c r="K896" s="3"/>
      <c r="L896" s="3"/>
      <c r="M896" s="3"/>
      <c r="N896" s="70"/>
      <c r="O896" s="3"/>
      <c r="P896" s="3"/>
      <c r="Q896" s="25"/>
      <c r="R896" s="3"/>
      <c r="S896" s="1"/>
      <c r="T896" s="1"/>
      <c r="U896" s="1"/>
      <c r="V896" s="1"/>
      <c r="W896" s="1"/>
      <c r="X896" s="1"/>
      <c r="Y896" s="1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81"/>
      <c r="AN896" s="81"/>
      <c r="AO896" s="81"/>
      <c r="AP896" s="81"/>
      <c r="AQ896" s="81"/>
      <c r="AR896" s="81"/>
      <c r="AS896" s="81"/>
      <c r="AT896" s="81"/>
      <c r="AU896" s="81"/>
      <c r="AV896" s="81"/>
      <c r="AW896" s="81"/>
      <c r="AX896" s="81"/>
      <c r="AY896" s="81"/>
      <c r="AZ896" s="81"/>
      <c r="BA896" s="81"/>
      <c r="BB896" s="81"/>
    </row>
    <row r="897">
      <c r="A897" s="3"/>
      <c r="B897" s="3"/>
      <c r="C897" s="3"/>
      <c r="D897" s="164"/>
      <c r="E897" s="3"/>
      <c r="F897" s="3"/>
      <c r="G897" s="136"/>
      <c r="H897" s="3"/>
      <c r="I897" s="3"/>
      <c r="J897" s="1"/>
      <c r="K897" s="3"/>
      <c r="L897" s="3"/>
      <c r="M897" s="3"/>
      <c r="N897" s="70"/>
      <c r="O897" s="3"/>
      <c r="P897" s="3"/>
      <c r="Q897" s="25"/>
      <c r="R897" s="1"/>
      <c r="S897" s="1"/>
      <c r="T897" s="1"/>
      <c r="U897" s="1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81"/>
      <c r="AN897" s="81"/>
      <c r="AO897" s="81"/>
      <c r="AP897" s="81"/>
      <c r="AQ897" s="81"/>
      <c r="AR897" s="81"/>
      <c r="AS897" s="81"/>
      <c r="AT897" s="81"/>
      <c r="AU897" s="81"/>
      <c r="AV897" s="81"/>
      <c r="AW897" s="81"/>
      <c r="AX897" s="81"/>
      <c r="AY897" s="81"/>
      <c r="AZ897" s="81"/>
      <c r="BA897" s="81"/>
      <c r="BB897" s="81"/>
    </row>
    <row r="898">
      <c r="A898" s="3"/>
      <c r="B898" s="3"/>
      <c r="C898" s="3"/>
      <c r="D898" s="3"/>
      <c r="E898" s="3"/>
      <c r="F898" s="3"/>
      <c r="G898" s="136"/>
      <c r="H898" s="3"/>
      <c r="I898" s="3"/>
      <c r="J898" s="1"/>
      <c r="K898" s="3"/>
      <c r="L898" s="3"/>
      <c r="M898" s="3"/>
      <c r="N898" s="105"/>
      <c r="O898" s="1"/>
      <c r="P898" s="3"/>
      <c r="Q898" s="25"/>
      <c r="R898" s="1"/>
      <c r="S898" s="1"/>
      <c r="T898" s="1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81"/>
      <c r="AN898" s="81"/>
      <c r="AO898" s="81"/>
      <c r="AP898" s="81"/>
      <c r="AQ898" s="81"/>
      <c r="AR898" s="81"/>
      <c r="AS898" s="81"/>
      <c r="AT898" s="81"/>
      <c r="AU898" s="81"/>
      <c r="AV898" s="81"/>
      <c r="AW898" s="81"/>
      <c r="AX898" s="81"/>
      <c r="AY898" s="81"/>
      <c r="AZ898" s="81"/>
      <c r="BA898" s="81"/>
      <c r="BB898" s="81"/>
    </row>
    <row r="899">
      <c r="A899" s="3"/>
      <c r="B899" s="3"/>
      <c r="C899" s="3"/>
      <c r="D899" s="3"/>
      <c r="E899" s="3"/>
      <c r="F899" s="3"/>
      <c r="G899" s="136"/>
      <c r="H899" s="3"/>
      <c r="I899" s="3"/>
      <c r="J899" s="3"/>
      <c r="K899" s="3"/>
      <c r="L899" s="3"/>
      <c r="M899" s="3"/>
      <c r="N899" s="70"/>
      <c r="O899" s="3"/>
      <c r="P899" s="3"/>
      <c r="Q899" s="25"/>
      <c r="R899" s="3"/>
      <c r="S899" s="1"/>
      <c r="T899" s="1"/>
      <c r="U899" s="1"/>
      <c r="V899" s="3"/>
      <c r="W899" s="3"/>
      <c r="X899" s="1"/>
      <c r="Y899" s="1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81"/>
      <c r="AN899" s="81"/>
      <c r="AO899" s="81"/>
      <c r="AP899" s="81"/>
      <c r="AQ899" s="81"/>
      <c r="AR899" s="81"/>
      <c r="AS899" s="81"/>
      <c r="AT899" s="81"/>
      <c r="AU899" s="81"/>
      <c r="AV899" s="81"/>
      <c r="AW899" s="81"/>
      <c r="AX899" s="81"/>
      <c r="AY899" s="81"/>
      <c r="AZ899" s="81"/>
      <c r="BA899" s="81"/>
      <c r="BB899" s="81"/>
    </row>
    <row r="900">
      <c r="A900" s="3"/>
      <c r="B900" s="3"/>
      <c r="C900" s="3"/>
      <c r="D900" s="3"/>
      <c r="E900" s="3"/>
      <c r="F900" s="3"/>
      <c r="G900" s="136"/>
      <c r="H900" s="3"/>
      <c r="I900" s="3"/>
      <c r="J900" s="1"/>
      <c r="K900" s="3"/>
      <c r="L900" s="3"/>
      <c r="M900" s="3"/>
      <c r="N900" s="70"/>
      <c r="O900" s="3"/>
      <c r="P900" s="3"/>
      <c r="Q900" s="25"/>
      <c r="R900" s="3"/>
      <c r="S900" s="1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81"/>
      <c r="AN900" s="81"/>
      <c r="AO900" s="81"/>
      <c r="AP900" s="81"/>
      <c r="AQ900" s="81"/>
      <c r="AR900" s="81"/>
      <c r="AS900" s="81"/>
      <c r="AT900" s="81"/>
      <c r="AU900" s="81"/>
      <c r="AV900" s="81"/>
      <c r="AW900" s="81"/>
      <c r="AX900" s="81"/>
      <c r="AY900" s="81"/>
      <c r="AZ900" s="81"/>
      <c r="BA900" s="81"/>
      <c r="BB900" s="81"/>
    </row>
    <row r="901">
      <c r="A901" s="3"/>
      <c r="B901" s="3"/>
      <c r="C901" s="3"/>
      <c r="D901" s="3"/>
      <c r="E901" s="3"/>
      <c r="F901" s="3"/>
      <c r="G901" s="136"/>
      <c r="H901" s="3"/>
      <c r="I901" s="3"/>
      <c r="J901" s="1"/>
      <c r="K901" s="3"/>
      <c r="L901" s="3"/>
      <c r="M901" s="3"/>
      <c r="N901" s="70"/>
      <c r="O901" s="3"/>
      <c r="P901" s="3"/>
      <c r="Q901" s="25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81"/>
      <c r="AN901" s="81"/>
      <c r="AO901" s="81"/>
      <c r="AP901" s="81"/>
      <c r="AQ901" s="81"/>
      <c r="AR901" s="81"/>
      <c r="AS901" s="81"/>
      <c r="AT901" s="81"/>
      <c r="AU901" s="81"/>
      <c r="AV901" s="81"/>
      <c r="AW901" s="81"/>
      <c r="AX901" s="81"/>
      <c r="AY901" s="81"/>
      <c r="AZ901" s="81"/>
      <c r="BA901" s="81"/>
      <c r="BB901" s="81"/>
    </row>
    <row r="902">
      <c r="A902" s="3"/>
      <c r="B902" s="3"/>
      <c r="C902" s="3"/>
      <c r="D902" s="3"/>
      <c r="E902" s="3"/>
      <c r="F902" s="3"/>
      <c r="G902" s="136"/>
      <c r="H902" s="3"/>
      <c r="I902" s="3"/>
      <c r="J902" s="1"/>
      <c r="K902" s="3"/>
      <c r="L902" s="3"/>
      <c r="M902" s="3"/>
      <c r="N902" s="70"/>
      <c r="O902" s="3"/>
      <c r="P902" s="3"/>
      <c r="Q902" s="25"/>
      <c r="R902" s="3"/>
      <c r="S902" s="1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81"/>
      <c r="AN902" s="81"/>
      <c r="AO902" s="81"/>
      <c r="AP902" s="81"/>
      <c r="AQ902" s="81"/>
      <c r="AR902" s="81"/>
      <c r="AS902" s="81"/>
      <c r="AT902" s="81"/>
      <c r="AU902" s="81"/>
      <c r="AV902" s="81"/>
      <c r="AW902" s="81"/>
      <c r="AX902" s="81"/>
      <c r="AY902" s="81"/>
      <c r="AZ902" s="81"/>
      <c r="BA902" s="81"/>
      <c r="BB902" s="81"/>
    </row>
    <row r="903">
      <c r="A903" s="3"/>
      <c r="B903" s="3"/>
      <c r="C903" s="3"/>
      <c r="D903" s="113"/>
      <c r="E903" s="3"/>
      <c r="F903" s="3"/>
      <c r="G903" s="136"/>
      <c r="H903" s="3"/>
      <c r="I903" s="3"/>
      <c r="J903" s="1"/>
      <c r="K903" s="3"/>
      <c r="L903" s="3"/>
      <c r="M903" s="3"/>
      <c r="N903" s="70"/>
      <c r="O903" s="3"/>
      <c r="P903" s="3"/>
      <c r="Q903" s="25"/>
      <c r="R903" s="1"/>
      <c r="S903" s="1"/>
      <c r="T903" s="1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81"/>
      <c r="AN903" s="81"/>
      <c r="AO903" s="81"/>
      <c r="AP903" s="81"/>
      <c r="AQ903" s="81"/>
      <c r="AR903" s="81"/>
      <c r="AS903" s="81"/>
      <c r="AT903" s="81"/>
      <c r="AU903" s="81"/>
      <c r="AV903" s="81"/>
      <c r="AW903" s="81"/>
      <c r="AX903" s="81"/>
      <c r="AY903" s="81"/>
      <c r="AZ903" s="81"/>
      <c r="BA903" s="81"/>
      <c r="BB903" s="81"/>
    </row>
    <row r="904">
      <c r="A904" s="3"/>
      <c r="B904" s="3"/>
      <c r="C904" s="3"/>
      <c r="D904" s="153"/>
      <c r="E904" s="3"/>
      <c r="F904" s="1"/>
      <c r="G904" s="136"/>
      <c r="H904" s="3"/>
      <c r="I904" s="3"/>
      <c r="J904" s="3"/>
      <c r="K904" s="3"/>
      <c r="L904" s="3"/>
      <c r="M904" s="3"/>
      <c r="N904" s="70"/>
      <c r="O904" s="3"/>
      <c r="P904" s="3"/>
      <c r="Q904" s="25"/>
      <c r="R904" s="3"/>
      <c r="S904" s="1"/>
      <c r="T904" s="1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81"/>
      <c r="AN904" s="81"/>
      <c r="AO904" s="81"/>
      <c r="AP904" s="81"/>
      <c r="AQ904" s="81"/>
      <c r="AR904" s="81"/>
      <c r="AS904" s="81"/>
      <c r="AT904" s="81"/>
      <c r="AU904" s="81"/>
      <c r="AV904" s="81"/>
      <c r="AW904" s="81"/>
      <c r="AX904" s="81"/>
      <c r="AY904" s="81"/>
      <c r="AZ904" s="81"/>
      <c r="BA904" s="81"/>
      <c r="BB904" s="81"/>
    </row>
    <row r="905">
      <c r="A905" s="3"/>
      <c r="B905" s="3"/>
      <c r="C905" s="3"/>
      <c r="D905" s="165"/>
      <c r="E905" s="3"/>
      <c r="F905" s="3"/>
      <c r="G905" s="136"/>
      <c r="H905" s="3"/>
      <c r="I905" s="3"/>
      <c r="J905" s="1"/>
      <c r="K905" s="3"/>
      <c r="L905" s="3"/>
      <c r="M905" s="3"/>
      <c r="N905" s="70"/>
      <c r="O905" s="3"/>
      <c r="P905" s="3"/>
      <c r="Q905" s="25"/>
      <c r="R905" s="1"/>
      <c r="S905" s="1"/>
      <c r="T905" s="1"/>
      <c r="U905" s="1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81"/>
      <c r="AN905" s="81"/>
      <c r="AO905" s="81"/>
      <c r="AP905" s="81"/>
      <c r="AQ905" s="81"/>
      <c r="AR905" s="81"/>
      <c r="AS905" s="81"/>
      <c r="AT905" s="81"/>
      <c r="AU905" s="81"/>
      <c r="AV905" s="81"/>
      <c r="AW905" s="81"/>
      <c r="AX905" s="81"/>
      <c r="AY905" s="81"/>
      <c r="AZ905" s="81"/>
      <c r="BA905" s="81"/>
      <c r="BB905" s="81"/>
    </row>
    <row r="906">
      <c r="A906" s="3"/>
      <c r="B906" s="3"/>
      <c r="C906" s="3"/>
      <c r="D906" s="131"/>
      <c r="E906" s="3"/>
      <c r="F906" s="3"/>
      <c r="G906" s="136"/>
      <c r="H906" s="3"/>
      <c r="I906" s="3"/>
      <c r="J906" s="1"/>
      <c r="K906" s="1"/>
      <c r="L906" s="3"/>
      <c r="M906" s="3"/>
      <c r="N906" s="70"/>
      <c r="O906" s="3"/>
      <c r="P906" s="3"/>
      <c r="Q906" s="25"/>
      <c r="R906" s="1"/>
      <c r="S906" s="1"/>
      <c r="T906" s="1"/>
      <c r="U906" s="1"/>
      <c r="V906" s="1"/>
      <c r="W906" s="1"/>
      <c r="X906" s="1"/>
      <c r="Y906" s="1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81"/>
      <c r="AN906" s="81"/>
      <c r="AO906" s="81"/>
      <c r="AP906" s="81"/>
      <c r="AQ906" s="81"/>
      <c r="AR906" s="81"/>
      <c r="AS906" s="81"/>
      <c r="AT906" s="81"/>
      <c r="AU906" s="81"/>
      <c r="AV906" s="81"/>
      <c r="AW906" s="81"/>
      <c r="AX906" s="81"/>
      <c r="AY906" s="81"/>
      <c r="AZ906" s="81"/>
      <c r="BA906" s="81"/>
      <c r="BB906" s="81"/>
    </row>
    <row r="907">
      <c r="A907" s="3"/>
      <c r="B907" s="3"/>
      <c r="C907" s="3"/>
      <c r="D907" s="3"/>
      <c r="E907" s="3"/>
      <c r="F907" s="3"/>
      <c r="G907" s="136"/>
      <c r="H907" s="3"/>
      <c r="I907" s="1"/>
      <c r="J907" s="3"/>
      <c r="K907" s="3"/>
      <c r="L907" s="3"/>
      <c r="M907" s="3"/>
      <c r="N907" s="70"/>
      <c r="O907" s="3"/>
      <c r="P907" s="3"/>
      <c r="Q907" s="25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81"/>
      <c r="AN907" s="81"/>
      <c r="AO907" s="81"/>
      <c r="AP907" s="81"/>
      <c r="AQ907" s="81"/>
      <c r="AR907" s="81"/>
      <c r="AS907" s="81"/>
      <c r="AT907" s="81"/>
      <c r="AU907" s="81"/>
      <c r="AV907" s="81"/>
      <c r="AW907" s="81"/>
      <c r="AX907" s="81"/>
      <c r="AY907" s="81"/>
      <c r="AZ907" s="81"/>
      <c r="BA907" s="81"/>
      <c r="BB907" s="81"/>
    </row>
    <row r="908">
      <c r="A908" s="3"/>
      <c r="B908" s="3"/>
      <c r="C908" s="3"/>
      <c r="D908" s="3"/>
      <c r="E908" s="3"/>
      <c r="F908" s="3"/>
      <c r="G908" s="136"/>
      <c r="H908" s="3"/>
      <c r="I908" s="3"/>
      <c r="J908" s="3"/>
      <c r="K908" s="3"/>
      <c r="L908" s="3"/>
      <c r="M908" s="3"/>
      <c r="N908" s="70"/>
      <c r="O908" s="3"/>
      <c r="P908" s="3"/>
      <c r="Q908" s="25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81"/>
      <c r="AN908" s="81"/>
      <c r="AO908" s="81"/>
      <c r="AP908" s="81"/>
      <c r="AQ908" s="81"/>
      <c r="AR908" s="81"/>
      <c r="AS908" s="81"/>
      <c r="AT908" s="81"/>
      <c r="AU908" s="81"/>
      <c r="AV908" s="81"/>
      <c r="AW908" s="81"/>
      <c r="AX908" s="81"/>
      <c r="AY908" s="81"/>
      <c r="AZ908" s="81"/>
      <c r="BA908" s="81"/>
      <c r="BB908" s="81"/>
    </row>
    <row r="909">
      <c r="A909" s="1"/>
      <c r="B909" s="3"/>
      <c r="C909" s="3"/>
      <c r="D909" s="3"/>
      <c r="E909" s="3"/>
      <c r="F909" s="3"/>
      <c r="G909" s="136"/>
      <c r="H909" s="3"/>
      <c r="I909" s="1"/>
      <c r="J909" s="1"/>
      <c r="K909" s="3"/>
      <c r="L909" s="3"/>
      <c r="M909" s="3"/>
      <c r="N909" s="70"/>
      <c r="O909" s="3"/>
      <c r="P909" s="3"/>
      <c r="Q909" s="25"/>
      <c r="R909" s="3"/>
      <c r="S909" s="3"/>
      <c r="T909" s="1"/>
      <c r="U909" s="1"/>
      <c r="V909" s="3"/>
      <c r="W909" s="1"/>
      <c r="X909" s="1"/>
      <c r="Y909" s="1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81"/>
      <c r="AN909" s="81"/>
      <c r="AO909" s="81"/>
      <c r="AP909" s="81"/>
      <c r="AQ909" s="81"/>
      <c r="AR909" s="81"/>
      <c r="AS909" s="81"/>
      <c r="AT909" s="81"/>
      <c r="AU909" s="81"/>
      <c r="AV909" s="81"/>
      <c r="AW909" s="81"/>
      <c r="AX909" s="81"/>
      <c r="AY909" s="81"/>
      <c r="AZ909" s="81"/>
      <c r="BA909" s="81"/>
      <c r="BB909" s="81"/>
    </row>
    <row r="910">
      <c r="A910" s="3"/>
      <c r="B910" s="3"/>
      <c r="C910" s="3"/>
      <c r="D910" s="3"/>
      <c r="E910" s="3"/>
      <c r="F910" s="3"/>
      <c r="G910" s="136"/>
      <c r="H910" s="3"/>
      <c r="I910" s="3"/>
      <c r="J910" s="3"/>
      <c r="K910" s="3"/>
      <c r="L910" s="3"/>
      <c r="M910" s="3"/>
      <c r="N910" s="70"/>
      <c r="O910" s="3"/>
      <c r="P910" s="3"/>
      <c r="Q910" s="25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81"/>
      <c r="AN910" s="81"/>
      <c r="AO910" s="81"/>
      <c r="AP910" s="81"/>
      <c r="AQ910" s="81"/>
      <c r="AR910" s="81"/>
      <c r="AS910" s="81"/>
      <c r="AT910" s="81"/>
      <c r="AU910" s="81"/>
      <c r="AV910" s="81"/>
      <c r="AW910" s="81"/>
      <c r="AX910" s="81"/>
      <c r="AY910" s="81"/>
      <c r="AZ910" s="81"/>
      <c r="BA910" s="81"/>
      <c r="BB910" s="81"/>
    </row>
    <row r="911">
      <c r="A911" s="1"/>
      <c r="B911" s="3"/>
      <c r="C911" s="3"/>
      <c r="D911" s="166"/>
      <c r="E911" s="3"/>
      <c r="F911" s="3"/>
      <c r="G911" s="136"/>
      <c r="H911" s="3"/>
      <c r="I911" s="3"/>
      <c r="J911" s="3"/>
      <c r="K911" s="3"/>
      <c r="L911" s="3"/>
      <c r="M911" s="3"/>
      <c r="N911" s="105"/>
      <c r="O911" s="3"/>
      <c r="P911" s="3"/>
      <c r="Q911" s="25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81"/>
      <c r="AN911" s="81"/>
      <c r="AO911" s="81"/>
      <c r="AP911" s="81"/>
      <c r="AQ911" s="81"/>
      <c r="AR911" s="81"/>
      <c r="AS911" s="81"/>
      <c r="AT911" s="81"/>
      <c r="AU911" s="81"/>
      <c r="AV911" s="81"/>
      <c r="AW911" s="81"/>
      <c r="AX911" s="81"/>
      <c r="AY911" s="81"/>
      <c r="AZ911" s="81"/>
      <c r="BA911" s="81"/>
      <c r="BB911" s="81"/>
    </row>
    <row r="912">
      <c r="A912" s="3"/>
      <c r="B912" s="3"/>
      <c r="C912" s="3"/>
      <c r="D912" s="166"/>
      <c r="E912" s="3"/>
      <c r="F912" s="3"/>
      <c r="G912" s="136"/>
      <c r="H912" s="3"/>
      <c r="I912" s="3"/>
      <c r="J912" s="1"/>
      <c r="K912" s="3"/>
      <c r="L912" s="3"/>
      <c r="M912" s="3"/>
      <c r="N912" s="70"/>
      <c r="O912" s="3"/>
      <c r="P912" s="3"/>
      <c r="Q912" s="25"/>
      <c r="R912" s="3"/>
      <c r="S912" s="1"/>
      <c r="T912" s="1"/>
      <c r="U912" s="1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81"/>
      <c r="AN912" s="81"/>
      <c r="AO912" s="81"/>
      <c r="AP912" s="81"/>
      <c r="AQ912" s="81"/>
      <c r="AR912" s="81"/>
      <c r="AS912" s="81"/>
      <c r="AT912" s="81"/>
      <c r="AU912" s="81"/>
      <c r="AV912" s="81"/>
      <c r="AW912" s="81"/>
      <c r="AX912" s="81"/>
      <c r="AY912" s="81"/>
      <c r="AZ912" s="81"/>
      <c r="BA912" s="81"/>
      <c r="BB912" s="81"/>
    </row>
    <row r="913">
      <c r="A913" s="3"/>
      <c r="B913" s="3"/>
      <c r="C913" s="3"/>
      <c r="D913" s="3"/>
      <c r="E913" s="3"/>
      <c r="F913" s="3"/>
      <c r="G913" s="136"/>
      <c r="H913" s="3"/>
      <c r="I913" s="3"/>
      <c r="J913" s="3"/>
      <c r="K913" s="3"/>
      <c r="L913" s="3"/>
      <c r="M913" s="3"/>
      <c r="N913" s="70"/>
      <c r="O913" s="3"/>
      <c r="P913" s="3"/>
      <c r="Q913" s="25"/>
      <c r="R913" s="1"/>
      <c r="S913" s="1"/>
      <c r="T913" s="1"/>
      <c r="U913" s="1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81"/>
      <c r="AN913" s="81"/>
      <c r="AO913" s="81"/>
      <c r="AP913" s="81"/>
      <c r="AQ913" s="81"/>
      <c r="AR913" s="81"/>
      <c r="AS913" s="81"/>
      <c r="AT913" s="81"/>
      <c r="AU913" s="81"/>
      <c r="AV913" s="81"/>
      <c r="AW913" s="81"/>
      <c r="AX913" s="81"/>
      <c r="AY913" s="81"/>
      <c r="AZ913" s="81"/>
      <c r="BA913" s="81"/>
      <c r="BB913" s="81"/>
    </row>
    <row r="914">
      <c r="A914" s="3"/>
      <c r="B914" s="3"/>
      <c r="C914" s="3"/>
      <c r="D914" s="1"/>
      <c r="E914" s="3"/>
      <c r="F914" s="3"/>
      <c r="G914" s="136"/>
      <c r="H914" s="3"/>
      <c r="I914" s="3"/>
      <c r="J914" s="3"/>
      <c r="K914" s="3"/>
      <c r="L914" s="3"/>
      <c r="M914" s="3"/>
      <c r="N914" s="70"/>
      <c r="O914" s="3"/>
      <c r="P914" s="3"/>
      <c r="Q914" s="25"/>
      <c r="R914" s="1"/>
      <c r="S914" s="1"/>
      <c r="T914" s="1"/>
      <c r="U914" s="1"/>
      <c r="V914" s="3"/>
      <c r="W914" s="1"/>
      <c r="X914" s="1"/>
      <c r="Y914" s="1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81"/>
      <c r="AN914" s="81"/>
      <c r="AO914" s="81"/>
      <c r="AP914" s="81"/>
      <c r="AQ914" s="81"/>
      <c r="AR914" s="81"/>
      <c r="AS914" s="81"/>
      <c r="AT914" s="81"/>
      <c r="AU914" s="81"/>
      <c r="AV914" s="81"/>
      <c r="AW914" s="81"/>
      <c r="AX914" s="81"/>
      <c r="AY914" s="81"/>
      <c r="AZ914" s="81"/>
      <c r="BA914" s="81"/>
      <c r="BB914" s="81"/>
    </row>
    <row r="915">
      <c r="A915" s="3"/>
      <c r="B915" s="3"/>
      <c r="C915" s="3"/>
      <c r="D915" s="3"/>
      <c r="E915" s="3"/>
      <c r="F915" s="3"/>
      <c r="G915" s="136"/>
      <c r="H915" s="3"/>
      <c r="I915" s="3"/>
      <c r="J915" s="1"/>
      <c r="K915" s="3"/>
      <c r="L915" s="3"/>
      <c r="M915" s="3"/>
      <c r="N915" s="70"/>
      <c r="O915" s="3"/>
      <c r="P915" s="3"/>
      <c r="Q915" s="25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81"/>
      <c r="AN915" s="81"/>
      <c r="AO915" s="81"/>
      <c r="AP915" s="81"/>
      <c r="AQ915" s="81"/>
      <c r="AR915" s="81"/>
      <c r="AS915" s="81"/>
      <c r="AT915" s="81"/>
      <c r="AU915" s="81"/>
      <c r="AV915" s="81"/>
      <c r="AW915" s="81"/>
      <c r="AX915" s="81"/>
      <c r="AY915" s="81"/>
      <c r="AZ915" s="81"/>
      <c r="BA915" s="81"/>
      <c r="BB915" s="81"/>
    </row>
    <row r="916">
      <c r="A916" s="3"/>
      <c r="B916" s="3"/>
      <c r="C916" s="3"/>
      <c r="D916" s="3"/>
      <c r="E916" s="3"/>
      <c r="F916" s="3"/>
      <c r="G916" s="136"/>
      <c r="H916" s="3"/>
      <c r="I916" s="3"/>
      <c r="J916" s="1"/>
      <c r="K916" s="3"/>
      <c r="L916" s="3"/>
      <c r="M916" s="3"/>
      <c r="N916" s="70"/>
      <c r="O916" s="3"/>
      <c r="P916" s="3"/>
      <c r="Q916" s="25"/>
      <c r="R916" s="3"/>
      <c r="S916" s="1"/>
      <c r="T916" s="1"/>
      <c r="U916" s="1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81"/>
      <c r="AN916" s="81"/>
      <c r="AO916" s="81"/>
      <c r="AP916" s="81"/>
      <c r="AQ916" s="81"/>
      <c r="AR916" s="81"/>
      <c r="AS916" s="81"/>
      <c r="AT916" s="81"/>
      <c r="AU916" s="81"/>
      <c r="AV916" s="81"/>
      <c r="AW916" s="81"/>
      <c r="AX916" s="81"/>
      <c r="AY916" s="81"/>
      <c r="AZ916" s="81"/>
      <c r="BA916" s="81"/>
      <c r="BB916" s="81"/>
    </row>
    <row r="917">
      <c r="A917" s="3"/>
      <c r="B917" s="3"/>
      <c r="C917" s="3"/>
      <c r="D917" s="3"/>
      <c r="E917" s="3"/>
      <c r="F917" s="3"/>
      <c r="G917" s="136"/>
      <c r="H917" s="3"/>
      <c r="I917" s="3"/>
      <c r="J917" s="1"/>
      <c r="K917" s="3"/>
      <c r="L917" s="3"/>
      <c r="M917" s="3"/>
      <c r="N917" s="70"/>
      <c r="O917" s="3"/>
      <c r="P917" s="3"/>
      <c r="Q917" s="25"/>
      <c r="R917" s="1"/>
      <c r="S917" s="1"/>
      <c r="T917" s="1"/>
      <c r="U917" s="1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81"/>
      <c r="AN917" s="81"/>
      <c r="AO917" s="81"/>
      <c r="AP917" s="81"/>
      <c r="AQ917" s="81"/>
      <c r="AR917" s="81"/>
      <c r="AS917" s="81"/>
      <c r="AT917" s="81"/>
      <c r="AU917" s="81"/>
      <c r="AV917" s="81"/>
      <c r="AW917" s="81"/>
      <c r="AX917" s="81"/>
      <c r="AY917" s="81"/>
      <c r="AZ917" s="81"/>
      <c r="BA917" s="81"/>
      <c r="BB917" s="81"/>
    </row>
    <row r="918">
      <c r="A918" s="3"/>
      <c r="B918" s="1"/>
      <c r="C918" s="3"/>
      <c r="D918" s="167"/>
      <c r="E918" s="1"/>
      <c r="F918" s="3"/>
      <c r="G918" s="136"/>
      <c r="H918" s="3"/>
      <c r="I918" s="3"/>
      <c r="J918" s="3"/>
      <c r="K918" s="3"/>
      <c r="L918" s="3"/>
      <c r="M918" s="3"/>
      <c r="N918" s="70"/>
      <c r="O918" s="3"/>
      <c r="P918" s="3"/>
      <c r="Q918" s="25"/>
      <c r="R918" s="1"/>
      <c r="S918" s="1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81"/>
      <c r="AN918" s="81"/>
      <c r="AO918" s="81"/>
      <c r="AP918" s="81"/>
      <c r="AQ918" s="81"/>
      <c r="AR918" s="81"/>
      <c r="AS918" s="81"/>
      <c r="AT918" s="81"/>
      <c r="AU918" s="81"/>
      <c r="AV918" s="81"/>
      <c r="AW918" s="81"/>
      <c r="AX918" s="81"/>
      <c r="AY918" s="81"/>
      <c r="AZ918" s="81"/>
      <c r="BA918" s="81"/>
      <c r="BB918" s="81"/>
    </row>
    <row r="919">
      <c r="A919" s="3"/>
      <c r="B919" s="3"/>
      <c r="C919" s="3"/>
      <c r="D919" s="3"/>
      <c r="E919" s="3"/>
      <c r="F919" s="3"/>
      <c r="G919" s="136"/>
      <c r="H919" s="3"/>
      <c r="I919" s="3"/>
      <c r="J919" s="1"/>
      <c r="K919" s="3"/>
      <c r="L919" s="3"/>
      <c r="M919" s="3"/>
      <c r="N919" s="70"/>
      <c r="O919" s="3"/>
      <c r="P919" s="3"/>
      <c r="Q919" s="25"/>
      <c r="R919" s="3"/>
      <c r="S919" s="1"/>
      <c r="T919" s="1"/>
      <c r="U919" s="1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81"/>
      <c r="AN919" s="81"/>
      <c r="AO919" s="81"/>
      <c r="AP919" s="81"/>
      <c r="AQ919" s="81"/>
      <c r="AR919" s="81"/>
      <c r="AS919" s="81"/>
      <c r="AT919" s="81"/>
      <c r="AU919" s="81"/>
      <c r="AV919" s="81"/>
      <c r="AW919" s="81"/>
      <c r="AX919" s="81"/>
      <c r="AY919" s="81"/>
      <c r="AZ919" s="81"/>
      <c r="BA919" s="81"/>
      <c r="BB919" s="81"/>
    </row>
    <row r="920">
      <c r="A920" s="3"/>
      <c r="B920" s="3"/>
      <c r="C920" s="3"/>
      <c r="D920" s="159"/>
      <c r="E920" s="115"/>
      <c r="F920" s="3"/>
      <c r="G920" s="136"/>
      <c r="H920" s="3"/>
      <c r="I920" s="3"/>
      <c r="J920" s="1"/>
      <c r="K920" s="3"/>
      <c r="L920" s="3"/>
      <c r="M920" s="3"/>
      <c r="N920" s="70"/>
      <c r="O920" s="3"/>
      <c r="P920" s="3"/>
      <c r="Q920" s="142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81"/>
      <c r="AN920" s="81"/>
      <c r="AO920" s="81"/>
      <c r="AP920" s="81"/>
      <c r="AQ920" s="81"/>
      <c r="AR920" s="81"/>
      <c r="AS920" s="81"/>
      <c r="AT920" s="81"/>
      <c r="AU920" s="81"/>
      <c r="AV920" s="81"/>
      <c r="AW920" s="81"/>
      <c r="AX920" s="81"/>
      <c r="AY920" s="81"/>
      <c r="AZ920" s="81"/>
      <c r="BA920" s="81"/>
      <c r="BB920" s="81"/>
    </row>
    <row r="921">
      <c r="A921" s="3"/>
      <c r="B921" s="3"/>
      <c r="C921" s="3"/>
      <c r="D921" s="159"/>
      <c r="E921" s="115"/>
      <c r="F921" s="3"/>
      <c r="G921" s="136"/>
      <c r="H921" s="3"/>
      <c r="I921" s="3"/>
      <c r="J921" s="1"/>
      <c r="K921" s="3"/>
      <c r="L921" s="3"/>
      <c r="M921" s="3"/>
      <c r="N921" s="70"/>
      <c r="O921" s="3"/>
      <c r="P921" s="3"/>
      <c r="Q921" s="142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81"/>
      <c r="AN921" s="81"/>
      <c r="AO921" s="81"/>
      <c r="AP921" s="81"/>
      <c r="AQ921" s="81"/>
      <c r="AR921" s="81"/>
      <c r="AS921" s="81"/>
      <c r="AT921" s="81"/>
      <c r="AU921" s="81"/>
      <c r="AV921" s="81"/>
      <c r="AW921" s="81"/>
      <c r="AX921" s="81"/>
      <c r="AY921" s="81"/>
      <c r="AZ921" s="81"/>
      <c r="BA921" s="81"/>
      <c r="BB921" s="81"/>
    </row>
    <row r="922">
      <c r="A922" s="3"/>
      <c r="B922" s="3"/>
      <c r="C922" s="3"/>
      <c r="D922" s="3"/>
      <c r="E922" s="3"/>
      <c r="F922" s="3"/>
      <c r="G922" s="136"/>
      <c r="H922" s="3"/>
      <c r="I922" s="3"/>
      <c r="J922" s="1"/>
      <c r="K922" s="3"/>
      <c r="L922" s="3"/>
      <c r="M922" s="3"/>
      <c r="N922" s="70"/>
      <c r="O922" s="3"/>
      <c r="P922" s="3"/>
      <c r="Q922" s="25"/>
      <c r="R922" s="3"/>
      <c r="S922" s="1"/>
      <c r="T922" s="1"/>
      <c r="U922" s="1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81"/>
      <c r="AN922" s="81"/>
      <c r="AO922" s="81"/>
      <c r="AP922" s="81"/>
      <c r="AQ922" s="81"/>
      <c r="AR922" s="81"/>
      <c r="AS922" s="81"/>
      <c r="AT922" s="81"/>
      <c r="AU922" s="81"/>
      <c r="AV922" s="81"/>
      <c r="AW922" s="81"/>
      <c r="AX922" s="81"/>
      <c r="AY922" s="81"/>
      <c r="AZ922" s="81"/>
      <c r="BA922" s="81"/>
      <c r="BB922" s="81"/>
    </row>
    <row r="923">
      <c r="A923" s="3"/>
      <c r="B923" s="3"/>
      <c r="C923" s="3"/>
      <c r="D923" s="1"/>
      <c r="E923" s="3"/>
      <c r="F923" s="3"/>
      <c r="G923" s="136"/>
      <c r="H923" s="3"/>
      <c r="I923" s="3"/>
      <c r="J923" s="1"/>
      <c r="K923" s="3"/>
      <c r="L923" s="3"/>
      <c r="M923" s="3"/>
      <c r="N923" s="70"/>
      <c r="O923" s="3"/>
      <c r="P923" s="3"/>
      <c r="Q923" s="25"/>
      <c r="R923" s="1"/>
      <c r="S923" s="1"/>
      <c r="T923" s="1"/>
      <c r="U923" s="1"/>
      <c r="V923" s="3"/>
      <c r="W923" s="1"/>
      <c r="X923" s="1"/>
      <c r="Y923" s="1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81"/>
      <c r="AN923" s="81"/>
      <c r="AO923" s="81"/>
      <c r="AP923" s="81"/>
      <c r="AQ923" s="81"/>
      <c r="AR923" s="81"/>
      <c r="AS923" s="81"/>
      <c r="AT923" s="81"/>
      <c r="AU923" s="81"/>
      <c r="AV923" s="81"/>
      <c r="AW923" s="81"/>
      <c r="AX923" s="81"/>
      <c r="AY923" s="81"/>
      <c r="AZ923" s="81"/>
      <c r="BA923" s="81"/>
      <c r="BB923" s="81"/>
    </row>
    <row r="924">
      <c r="A924" s="1"/>
      <c r="B924" s="3"/>
      <c r="C924" s="3"/>
      <c r="D924" s="3"/>
      <c r="E924" s="3"/>
      <c r="F924" s="1"/>
      <c r="G924" s="136"/>
      <c r="H924" s="3"/>
      <c r="I924" s="1"/>
      <c r="J924" s="3"/>
      <c r="K924" s="3"/>
      <c r="L924" s="3"/>
      <c r="M924" s="3"/>
      <c r="N924" s="70"/>
      <c r="O924" s="3"/>
      <c r="P924" s="3"/>
      <c r="Q924" s="25"/>
      <c r="R924" s="1"/>
      <c r="S924" s="1"/>
      <c r="T924" s="1"/>
      <c r="U924" s="1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81"/>
      <c r="AN924" s="81"/>
      <c r="AO924" s="81"/>
      <c r="AP924" s="81"/>
      <c r="AQ924" s="81"/>
      <c r="AR924" s="81"/>
      <c r="AS924" s="81"/>
      <c r="AT924" s="81"/>
      <c r="AU924" s="81"/>
      <c r="AV924" s="81"/>
      <c r="AW924" s="81"/>
      <c r="AX924" s="81"/>
      <c r="AY924" s="81"/>
      <c r="AZ924" s="81"/>
      <c r="BA924" s="81"/>
      <c r="BB924" s="81"/>
    </row>
    <row r="925">
      <c r="A925" s="3"/>
      <c r="B925" s="3"/>
      <c r="C925" s="115"/>
      <c r="D925" s="3"/>
      <c r="E925" s="3"/>
      <c r="F925" s="3"/>
      <c r="G925" s="136"/>
      <c r="H925" s="3"/>
      <c r="I925" s="3"/>
      <c r="J925" s="3"/>
      <c r="K925" s="3"/>
      <c r="L925" s="3"/>
      <c r="M925" s="3"/>
      <c r="N925" s="70"/>
      <c r="O925" s="3"/>
      <c r="P925" s="3"/>
      <c r="Q925" s="25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81"/>
      <c r="AN925" s="81"/>
      <c r="AO925" s="81"/>
      <c r="AP925" s="81"/>
      <c r="AQ925" s="81"/>
      <c r="AR925" s="81"/>
      <c r="AS925" s="81"/>
      <c r="AT925" s="81"/>
      <c r="AU925" s="81"/>
      <c r="AV925" s="81"/>
      <c r="AW925" s="81"/>
      <c r="AX925" s="81"/>
      <c r="AY925" s="81"/>
      <c r="AZ925" s="81"/>
      <c r="BA925" s="81"/>
      <c r="BB925" s="81"/>
    </row>
    <row r="926">
      <c r="A926" s="3"/>
      <c r="B926" s="3"/>
      <c r="C926" s="3"/>
      <c r="D926" s="3"/>
      <c r="E926" s="3"/>
      <c r="F926" s="3"/>
      <c r="G926" s="136"/>
      <c r="H926" s="3"/>
      <c r="I926" s="1"/>
      <c r="J926" s="1"/>
      <c r="K926" s="3"/>
      <c r="L926" s="3"/>
      <c r="M926" s="3"/>
      <c r="N926" s="70"/>
      <c r="O926" s="3"/>
      <c r="P926" s="3"/>
      <c r="Q926" s="25"/>
      <c r="R926" s="1"/>
      <c r="S926" s="1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81"/>
      <c r="AN926" s="81"/>
      <c r="AO926" s="81"/>
      <c r="AP926" s="81"/>
      <c r="AQ926" s="81"/>
      <c r="AR926" s="81"/>
      <c r="AS926" s="81"/>
      <c r="AT926" s="81"/>
      <c r="AU926" s="81"/>
      <c r="AV926" s="81"/>
      <c r="AW926" s="81"/>
      <c r="AX926" s="81"/>
      <c r="AY926" s="81"/>
      <c r="AZ926" s="81"/>
      <c r="BA926" s="81"/>
      <c r="BB926" s="81"/>
    </row>
    <row r="927">
      <c r="A927" s="3"/>
      <c r="B927" s="3"/>
      <c r="C927" s="3"/>
      <c r="D927" s="3"/>
      <c r="E927" s="3"/>
      <c r="F927" s="3"/>
      <c r="G927" s="136"/>
      <c r="H927" s="3"/>
      <c r="I927" s="3"/>
      <c r="J927" s="1"/>
      <c r="K927" s="3"/>
      <c r="L927" s="3"/>
      <c r="M927" s="3"/>
      <c r="N927" s="70"/>
      <c r="O927" s="3"/>
      <c r="P927" s="3"/>
      <c r="Q927" s="25"/>
      <c r="R927" s="3"/>
      <c r="S927" s="1"/>
      <c r="T927" s="1"/>
      <c r="U927" s="1"/>
      <c r="V927" s="1"/>
      <c r="W927" s="1"/>
      <c r="X927" s="1"/>
      <c r="Y927" s="1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81"/>
      <c r="AN927" s="81"/>
      <c r="AO927" s="81"/>
      <c r="AP927" s="81"/>
      <c r="AQ927" s="81"/>
      <c r="AR927" s="81"/>
      <c r="AS927" s="81"/>
      <c r="AT927" s="81"/>
      <c r="AU927" s="81"/>
      <c r="AV927" s="81"/>
      <c r="AW927" s="81"/>
      <c r="AX927" s="81"/>
      <c r="AY927" s="81"/>
      <c r="AZ927" s="81"/>
      <c r="BA927" s="81"/>
      <c r="BB927" s="81"/>
    </row>
    <row r="928">
      <c r="A928" s="3"/>
      <c r="B928" s="3"/>
      <c r="C928" s="3"/>
      <c r="D928" s="3"/>
      <c r="E928" s="3"/>
      <c r="F928" s="1"/>
      <c r="G928" s="136"/>
      <c r="H928" s="3"/>
      <c r="I928" s="3"/>
      <c r="J928" s="1"/>
      <c r="K928" s="3"/>
      <c r="L928" s="3"/>
      <c r="M928" s="3"/>
      <c r="N928" s="70"/>
      <c r="O928" s="3"/>
      <c r="P928" s="3"/>
      <c r="Q928" s="25"/>
      <c r="R928" s="3"/>
      <c r="S928" s="1"/>
      <c r="T928" s="1"/>
      <c r="U928" s="1"/>
      <c r="V928" s="1"/>
      <c r="W928" s="1"/>
      <c r="X928" s="1"/>
      <c r="Y928" s="1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81"/>
      <c r="AN928" s="81"/>
      <c r="AO928" s="81"/>
      <c r="AP928" s="81"/>
      <c r="AQ928" s="81"/>
      <c r="AR928" s="81"/>
      <c r="AS928" s="81"/>
      <c r="AT928" s="81"/>
      <c r="AU928" s="81"/>
      <c r="AV928" s="81"/>
      <c r="AW928" s="81"/>
      <c r="AX928" s="81"/>
      <c r="AY928" s="81"/>
      <c r="AZ928" s="81"/>
      <c r="BA928" s="81"/>
      <c r="BB928" s="81"/>
    </row>
    <row r="929">
      <c r="A929" s="3"/>
      <c r="B929" s="3"/>
      <c r="C929" s="3"/>
      <c r="D929" s="3"/>
      <c r="E929" s="3"/>
      <c r="F929" s="1"/>
      <c r="G929" s="136"/>
      <c r="H929" s="3"/>
      <c r="I929" s="1"/>
      <c r="J929" s="1"/>
      <c r="K929" s="3"/>
      <c r="L929" s="3"/>
      <c r="M929" s="3"/>
      <c r="N929" s="70"/>
      <c r="O929" s="3"/>
      <c r="P929" s="3"/>
      <c r="Q929" s="25"/>
      <c r="R929" s="3"/>
      <c r="S929" s="1"/>
      <c r="T929" s="3"/>
      <c r="U929" s="3"/>
      <c r="V929" s="3"/>
      <c r="W929" s="3"/>
      <c r="X929" s="1"/>
      <c r="Y929" s="1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81"/>
      <c r="AN929" s="81"/>
      <c r="AO929" s="81"/>
      <c r="AP929" s="81"/>
      <c r="AQ929" s="81"/>
      <c r="AR929" s="81"/>
      <c r="AS929" s="81"/>
      <c r="AT929" s="81"/>
      <c r="AU929" s="81"/>
      <c r="AV929" s="81"/>
      <c r="AW929" s="81"/>
      <c r="AX929" s="81"/>
      <c r="AY929" s="81"/>
      <c r="AZ929" s="81"/>
      <c r="BA929" s="81"/>
      <c r="BB929" s="81"/>
    </row>
    <row r="930">
      <c r="A930" s="3"/>
      <c r="B930" s="3"/>
      <c r="C930" s="3"/>
      <c r="D930" s="3"/>
      <c r="E930" s="3"/>
      <c r="F930" s="3"/>
      <c r="G930" s="136"/>
      <c r="H930" s="3"/>
      <c r="I930" s="3"/>
      <c r="J930" s="1"/>
      <c r="K930" s="3"/>
      <c r="L930" s="3"/>
      <c r="M930" s="3"/>
      <c r="N930" s="70"/>
      <c r="O930" s="3"/>
      <c r="P930" s="3"/>
      <c r="Q930" s="25"/>
      <c r="R930" s="1"/>
      <c r="S930" s="1"/>
      <c r="T930" s="1"/>
      <c r="U930" s="1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81"/>
      <c r="AN930" s="81"/>
      <c r="AO930" s="81"/>
      <c r="AP930" s="81"/>
      <c r="AQ930" s="81"/>
      <c r="AR930" s="81"/>
      <c r="AS930" s="81"/>
      <c r="AT930" s="81"/>
      <c r="AU930" s="81"/>
      <c r="AV930" s="81"/>
      <c r="AW930" s="81"/>
      <c r="AX930" s="81"/>
      <c r="AY930" s="81"/>
      <c r="AZ930" s="81"/>
      <c r="BA930" s="81"/>
      <c r="BB930" s="81"/>
    </row>
    <row r="931">
      <c r="A931" s="3"/>
      <c r="B931" s="3"/>
      <c r="C931" s="3"/>
      <c r="D931" s="130"/>
      <c r="E931" s="3"/>
      <c r="F931" s="3"/>
      <c r="G931" s="136"/>
      <c r="H931" s="3"/>
      <c r="I931" s="3"/>
      <c r="J931" s="1"/>
      <c r="K931" s="3"/>
      <c r="L931" s="3"/>
      <c r="M931" s="3"/>
      <c r="N931" s="70"/>
      <c r="O931" s="3"/>
      <c r="P931" s="3"/>
      <c r="Q931" s="25"/>
      <c r="R931" s="1"/>
      <c r="S931" s="1"/>
      <c r="T931" s="1"/>
      <c r="U931" s="1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81"/>
      <c r="AN931" s="81"/>
      <c r="AO931" s="81"/>
      <c r="AP931" s="81"/>
      <c r="AQ931" s="81"/>
      <c r="AR931" s="81"/>
      <c r="AS931" s="81"/>
      <c r="AT931" s="81"/>
      <c r="AU931" s="81"/>
      <c r="AV931" s="81"/>
      <c r="AW931" s="81"/>
      <c r="AX931" s="81"/>
      <c r="AY931" s="81"/>
      <c r="AZ931" s="81"/>
      <c r="BA931" s="81"/>
      <c r="BB931" s="81"/>
    </row>
    <row r="932">
      <c r="A932" s="3"/>
      <c r="B932" s="3"/>
      <c r="C932" s="3"/>
      <c r="D932" s="144"/>
      <c r="E932" s="3"/>
      <c r="F932" s="3"/>
      <c r="G932" s="136"/>
      <c r="H932" s="3"/>
      <c r="I932" s="3"/>
      <c r="J932" s="3"/>
      <c r="K932" s="3"/>
      <c r="L932" s="3"/>
      <c r="M932" s="3"/>
      <c r="N932" s="70"/>
      <c r="O932" s="3"/>
      <c r="P932" s="3"/>
      <c r="Q932" s="25"/>
      <c r="R932" s="3"/>
      <c r="S932" s="1"/>
      <c r="T932" s="1"/>
      <c r="U932" s="1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81"/>
      <c r="AN932" s="81"/>
      <c r="AO932" s="81"/>
      <c r="AP932" s="81"/>
      <c r="AQ932" s="81"/>
      <c r="AR932" s="81"/>
      <c r="AS932" s="81"/>
      <c r="AT932" s="81"/>
      <c r="AU932" s="81"/>
      <c r="AV932" s="81"/>
      <c r="AW932" s="81"/>
      <c r="AX932" s="81"/>
      <c r="AY932" s="81"/>
      <c r="AZ932" s="81"/>
      <c r="BA932" s="81"/>
      <c r="BB932" s="81"/>
    </row>
    <row r="933">
      <c r="A933" s="1"/>
      <c r="B933" s="3"/>
      <c r="C933" s="3"/>
      <c r="D933" s="168"/>
      <c r="E933" s="3"/>
      <c r="F933" s="3"/>
      <c r="G933" s="136"/>
      <c r="H933" s="3"/>
      <c r="I933" s="3"/>
      <c r="J933" s="3"/>
      <c r="K933" s="3"/>
      <c r="L933" s="3"/>
      <c r="M933" s="3"/>
      <c r="N933" s="70"/>
      <c r="O933" s="3"/>
      <c r="P933" s="3"/>
      <c r="Q933" s="25"/>
      <c r="R933" s="3"/>
      <c r="S933" s="1"/>
      <c r="T933" s="1"/>
      <c r="U933" s="1"/>
      <c r="V933" s="3"/>
      <c r="W933" s="1"/>
      <c r="X933" s="1"/>
      <c r="Y933" s="1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81"/>
      <c r="AN933" s="81"/>
      <c r="AO933" s="81"/>
      <c r="AP933" s="81"/>
      <c r="AQ933" s="81"/>
      <c r="AR933" s="81"/>
      <c r="AS933" s="81"/>
      <c r="AT933" s="81"/>
      <c r="AU933" s="81"/>
      <c r="AV933" s="81"/>
      <c r="AW933" s="81"/>
      <c r="AX933" s="81"/>
      <c r="AY933" s="81"/>
      <c r="AZ933" s="81"/>
      <c r="BA933" s="81"/>
      <c r="BB933" s="81"/>
    </row>
    <row r="934">
      <c r="A934" s="3"/>
      <c r="B934" s="3"/>
      <c r="C934" s="3"/>
      <c r="D934" s="3"/>
      <c r="E934" s="3"/>
      <c r="F934" s="3"/>
      <c r="G934" s="136"/>
      <c r="H934" s="3"/>
      <c r="I934" s="3"/>
      <c r="J934" s="3"/>
      <c r="K934" s="3"/>
      <c r="L934" s="3"/>
      <c r="M934" s="3"/>
      <c r="N934" s="70"/>
      <c r="O934" s="3"/>
      <c r="P934" s="3"/>
      <c r="Q934" s="25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81"/>
      <c r="AN934" s="81"/>
      <c r="AO934" s="81"/>
      <c r="AP934" s="81"/>
      <c r="AQ934" s="81"/>
      <c r="AR934" s="81"/>
      <c r="AS934" s="81"/>
      <c r="AT934" s="81"/>
      <c r="AU934" s="81"/>
      <c r="AV934" s="81"/>
      <c r="AW934" s="81"/>
      <c r="AX934" s="81"/>
      <c r="AY934" s="81"/>
      <c r="AZ934" s="81"/>
      <c r="BA934" s="81"/>
      <c r="BB934" s="81"/>
    </row>
    <row r="935">
      <c r="A935" s="3"/>
      <c r="B935" s="3"/>
      <c r="C935" s="3"/>
      <c r="D935" s="1"/>
      <c r="E935" s="3"/>
      <c r="F935" s="3"/>
      <c r="G935" s="136"/>
      <c r="H935" s="3"/>
      <c r="I935" s="3"/>
      <c r="J935" s="1"/>
      <c r="K935" s="3"/>
      <c r="L935" s="3"/>
      <c r="M935" s="3"/>
      <c r="N935" s="70"/>
      <c r="O935" s="3"/>
      <c r="P935" s="3"/>
      <c r="Q935" s="25"/>
      <c r="R935" s="3"/>
      <c r="S935" s="1"/>
      <c r="T935" s="1"/>
      <c r="U935" s="1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81"/>
    </row>
    <row r="936">
      <c r="A936" s="3"/>
      <c r="B936" s="3"/>
      <c r="C936" s="3"/>
      <c r="D936" s="126"/>
      <c r="E936" s="3"/>
      <c r="F936" s="3"/>
      <c r="G936" s="136"/>
      <c r="H936" s="3"/>
      <c r="I936" s="3"/>
      <c r="J936" s="1"/>
      <c r="K936" s="3"/>
      <c r="L936" s="3"/>
      <c r="M936" s="3"/>
      <c r="N936" s="105"/>
      <c r="O936" s="1"/>
      <c r="P936" s="3"/>
      <c r="Q936" s="142"/>
      <c r="R936" s="3"/>
      <c r="S936" s="1"/>
      <c r="T936" s="1"/>
      <c r="U936" s="1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81"/>
      <c r="AN936" s="81"/>
      <c r="AO936" s="81"/>
      <c r="AP936" s="81"/>
      <c r="AQ936" s="81"/>
      <c r="AR936" s="81"/>
      <c r="AS936" s="81"/>
      <c r="AT936" s="81"/>
      <c r="AU936" s="81"/>
      <c r="AV936" s="81"/>
      <c r="AW936" s="81"/>
      <c r="AX936" s="81"/>
      <c r="AY936" s="81"/>
      <c r="AZ936" s="81"/>
      <c r="BA936" s="81"/>
      <c r="BB936" s="81"/>
    </row>
    <row r="937">
      <c r="A937" s="3"/>
      <c r="B937" s="3"/>
      <c r="C937" s="3"/>
      <c r="D937" s="144"/>
      <c r="E937" s="3"/>
      <c r="F937" s="3"/>
      <c r="G937" s="3"/>
      <c r="H937" s="3"/>
      <c r="I937" s="3"/>
      <c r="J937" s="1"/>
      <c r="K937" s="3"/>
      <c r="L937" s="3"/>
      <c r="M937" s="3"/>
      <c r="N937" s="70"/>
      <c r="O937" s="3"/>
      <c r="P937" s="3"/>
      <c r="Q937" s="25"/>
      <c r="R937" s="1"/>
      <c r="S937" s="1"/>
      <c r="T937" s="1"/>
      <c r="U937" s="1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81"/>
      <c r="AN937" s="81"/>
      <c r="AO937" s="81"/>
      <c r="AP937" s="81"/>
      <c r="AQ937" s="81"/>
      <c r="AR937" s="81"/>
      <c r="AS937" s="81"/>
      <c r="AT937" s="81"/>
      <c r="AU937" s="81"/>
      <c r="AV937" s="81"/>
      <c r="AW937" s="81"/>
      <c r="AX937" s="81"/>
      <c r="AY937" s="81"/>
      <c r="AZ937" s="81"/>
      <c r="BA937" s="81"/>
      <c r="BB937" s="81"/>
    </row>
    <row r="938">
      <c r="A938" s="3"/>
      <c r="B938" s="3"/>
      <c r="C938" s="3"/>
      <c r="D938" s="3"/>
      <c r="E938" s="3"/>
      <c r="F938" s="3"/>
      <c r="G938" s="136"/>
      <c r="H938" s="3"/>
      <c r="I938" s="3"/>
      <c r="J938" s="1"/>
      <c r="K938" s="3"/>
      <c r="L938" s="3"/>
      <c r="M938" s="3"/>
      <c r="N938" s="70"/>
      <c r="O938" s="3"/>
      <c r="P938" s="3"/>
      <c r="Q938" s="25"/>
      <c r="R938" s="1"/>
      <c r="S938" s="1"/>
      <c r="T938" s="1"/>
      <c r="U938" s="1"/>
      <c r="V938" s="1"/>
      <c r="W938" s="1"/>
      <c r="X938" s="1"/>
      <c r="Y938" s="1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81"/>
      <c r="AN938" s="81"/>
      <c r="AO938" s="81"/>
      <c r="AP938" s="81"/>
      <c r="AQ938" s="81"/>
      <c r="AR938" s="81"/>
      <c r="AS938" s="81"/>
      <c r="AT938" s="81"/>
      <c r="AU938" s="81"/>
      <c r="AV938" s="81"/>
      <c r="AW938" s="81"/>
      <c r="AX938" s="81"/>
      <c r="AY938" s="81"/>
      <c r="AZ938" s="81"/>
      <c r="BA938" s="81"/>
      <c r="BB938" s="81"/>
    </row>
    <row r="939">
      <c r="A939" s="1"/>
      <c r="B939" s="3"/>
      <c r="C939" s="3"/>
      <c r="D939" s="144"/>
      <c r="E939" s="3"/>
      <c r="F939" s="3"/>
      <c r="G939" s="136"/>
      <c r="H939" s="3"/>
      <c r="I939" s="3"/>
      <c r="J939" s="3"/>
      <c r="K939" s="3"/>
      <c r="L939" s="3"/>
      <c r="M939" s="3"/>
      <c r="N939" s="70"/>
      <c r="O939" s="3"/>
      <c r="P939" s="3"/>
      <c r="Q939" s="25"/>
      <c r="R939" s="3"/>
      <c r="S939" s="3"/>
      <c r="T939" s="1"/>
      <c r="U939" s="1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81"/>
      <c r="AN939" s="81"/>
      <c r="AO939" s="81"/>
      <c r="AP939" s="81"/>
      <c r="AQ939" s="81"/>
      <c r="AR939" s="81"/>
      <c r="AS939" s="81"/>
      <c r="AT939" s="81"/>
      <c r="AU939" s="81"/>
      <c r="AV939" s="81"/>
      <c r="AW939" s="81"/>
      <c r="AX939" s="81"/>
      <c r="AY939" s="81"/>
      <c r="AZ939" s="81"/>
      <c r="BA939" s="81"/>
      <c r="BB939" s="81"/>
    </row>
    <row r="940">
      <c r="A940" s="3"/>
      <c r="B940" s="3"/>
      <c r="C940" s="3"/>
      <c r="D940" s="130"/>
      <c r="E940" s="3"/>
      <c r="F940" s="3"/>
      <c r="G940" s="136"/>
      <c r="H940" s="3"/>
      <c r="I940" s="3"/>
      <c r="J940" s="3"/>
      <c r="K940" s="3"/>
      <c r="L940" s="3"/>
      <c r="M940" s="3"/>
      <c r="N940" s="70"/>
      <c r="O940" s="3"/>
      <c r="P940" s="3"/>
      <c r="Q940" s="25"/>
      <c r="R940" s="3"/>
      <c r="S940" s="3"/>
      <c r="T940" s="1"/>
      <c r="U940" s="1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81"/>
      <c r="AN940" s="81"/>
      <c r="AO940" s="81"/>
      <c r="AP940" s="81"/>
      <c r="AQ940" s="81"/>
      <c r="AR940" s="81"/>
      <c r="AS940" s="81"/>
      <c r="AT940" s="81"/>
      <c r="AU940" s="81"/>
      <c r="AV940" s="81"/>
      <c r="AW940" s="81"/>
      <c r="AX940" s="81"/>
      <c r="AY940" s="81"/>
      <c r="AZ940" s="81"/>
      <c r="BA940" s="81"/>
      <c r="BB940" s="81"/>
    </row>
    <row r="941">
      <c r="A941" s="3"/>
      <c r="B941" s="1"/>
      <c r="C941" s="3"/>
      <c r="D941" s="148"/>
      <c r="E941" s="3"/>
      <c r="F941" s="3"/>
      <c r="G941" s="136"/>
      <c r="H941" s="3"/>
      <c r="I941" s="3"/>
      <c r="J941" s="3"/>
      <c r="K941" s="3"/>
      <c r="L941" s="3"/>
      <c r="M941" s="3"/>
      <c r="N941" s="70"/>
      <c r="O941" s="3"/>
      <c r="P941" s="3"/>
      <c r="Q941" s="142"/>
      <c r="R941" s="3"/>
      <c r="S941" s="1"/>
      <c r="T941" s="1"/>
      <c r="U941" s="1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81"/>
      <c r="AN941" s="81"/>
      <c r="AO941" s="81"/>
      <c r="AP941" s="81"/>
      <c r="AQ941" s="81"/>
      <c r="AR941" s="81"/>
      <c r="AS941" s="81"/>
      <c r="AT941" s="81"/>
      <c r="AU941" s="81"/>
      <c r="AV941" s="81"/>
      <c r="AW941" s="81"/>
      <c r="AX941" s="81"/>
      <c r="AY941" s="81"/>
      <c r="AZ941" s="81"/>
      <c r="BA941" s="81"/>
      <c r="BB941" s="81"/>
    </row>
    <row r="942">
      <c r="A942" s="3"/>
      <c r="B942" s="3"/>
      <c r="C942" s="3"/>
      <c r="D942" s="3"/>
      <c r="E942" s="3"/>
      <c r="F942" s="3"/>
      <c r="G942" s="136"/>
      <c r="H942" s="3"/>
      <c r="I942" s="3"/>
      <c r="J942" s="3"/>
      <c r="K942" s="3"/>
      <c r="L942" s="3"/>
      <c r="M942" s="3"/>
      <c r="N942" s="70"/>
      <c r="O942" s="3"/>
      <c r="P942" s="3"/>
      <c r="Q942" s="25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81"/>
      <c r="AN942" s="81"/>
      <c r="AO942" s="81"/>
      <c r="AP942" s="81"/>
      <c r="AQ942" s="81"/>
      <c r="AR942" s="81"/>
      <c r="AS942" s="81"/>
      <c r="AT942" s="81"/>
      <c r="AU942" s="81"/>
      <c r="AV942" s="81"/>
      <c r="AW942" s="81"/>
      <c r="AX942" s="81"/>
      <c r="AY942" s="81"/>
      <c r="AZ942" s="81"/>
      <c r="BA942" s="81"/>
      <c r="BB942" s="81"/>
    </row>
    <row r="943">
      <c r="A943" s="3"/>
      <c r="B943" s="3"/>
      <c r="C943" s="3"/>
      <c r="D943" s="1"/>
      <c r="E943" s="3"/>
      <c r="F943" s="3"/>
      <c r="G943" s="136"/>
      <c r="H943" s="3"/>
      <c r="I943" s="3"/>
      <c r="J943" s="1"/>
      <c r="K943" s="3"/>
      <c r="L943" s="3"/>
      <c r="M943" s="3"/>
      <c r="N943" s="105"/>
      <c r="O943" s="3"/>
      <c r="P943" s="3"/>
      <c r="Q943" s="25"/>
      <c r="R943" s="1"/>
      <c r="S943" s="1"/>
      <c r="T943" s="1"/>
      <c r="U943" s="1"/>
      <c r="V943" s="1"/>
      <c r="W943" s="1"/>
      <c r="X943" s="1"/>
      <c r="Y943" s="1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81"/>
      <c r="AN943" s="81"/>
      <c r="AO943" s="81"/>
      <c r="AP943" s="81"/>
      <c r="AQ943" s="81"/>
      <c r="AR943" s="81"/>
      <c r="AS943" s="81"/>
      <c r="AT943" s="81"/>
      <c r="AU943" s="81"/>
      <c r="AV943" s="81"/>
      <c r="AW943" s="81"/>
      <c r="AX943" s="81"/>
      <c r="AY943" s="81"/>
      <c r="AZ943" s="81"/>
      <c r="BA943" s="81"/>
      <c r="BB943" s="81"/>
    </row>
    <row r="944">
      <c r="A944" s="3"/>
      <c r="B944" s="3"/>
      <c r="C944" s="3"/>
      <c r="D944" s="3"/>
      <c r="E944" s="3"/>
      <c r="F944" s="3"/>
      <c r="G944" s="136"/>
      <c r="H944" s="3"/>
      <c r="I944" s="3"/>
      <c r="J944" s="1"/>
      <c r="K944" s="3"/>
      <c r="L944" s="3"/>
      <c r="M944" s="3"/>
      <c r="N944" s="70"/>
      <c r="O944" s="3"/>
      <c r="P944" s="3"/>
      <c r="Q944" s="25"/>
      <c r="R944" s="3"/>
      <c r="S944" s="3"/>
      <c r="T944" s="1"/>
      <c r="U944" s="1"/>
      <c r="V944" s="3"/>
      <c r="W944" s="3"/>
      <c r="X944" s="3"/>
      <c r="Y944" s="1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107"/>
      <c r="AN944" s="81"/>
      <c r="AO944" s="81"/>
      <c r="AP944" s="81"/>
      <c r="AQ944" s="81"/>
      <c r="AR944" s="81"/>
      <c r="AS944" s="81"/>
      <c r="AT944" s="81"/>
      <c r="AU944" s="81"/>
      <c r="AV944" s="81"/>
      <c r="AW944" s="81"/>
      <c r="AX944" s="81"/>
      <c r="AY944" s="81"/>
      <c r="AZ944" s="81"/>
      <c r="BA944" s="81"/>
      <c r="BB944" s="81"/>
    </row>
    <row r="945">
      <c r="A945" s="3"/>
      <c r="B945" s="3"/>
      <c r="C945" s="3"/>
      <c r="D945" s="3"/>
      <c r="E945" s="3"/>
      <c r="F945" s="3"/>
      <c r="G945" s="136"/>
      <c r="H945" s="3"/>
      <c r="I945" s="1"/>
      <c r="J945" s="3"/>
      <c r="K945" s="3"/>
      <c r="L945" s="3"/>
      <c r="M945" s="3"/>
      <c r="N945" s="70"/>
      <c r="O945" s="3"/>
      <c r="P945" s="3"/>
      <c r="Q945" s="25"/>
      <c r="R945" s="3"/>
      <c r="S945" s="3"/>
      <c r="T945" s="1"/>
      <c r="U945" s="1"/>
      <c r="V945" s="3"/>
      <c r="W945" s="3"/>
      <c r="X945" s="1"/>
      <c r="Y945" s="1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81"/>
      <c r="AN945" s="81"/>
      <c r="AO945" s="81"/>
      <c r="AP945" s="81"/>
      <c r="AQ945" s="81"/>
      <c r="AR945" s="81"/>
      <c r="AS945" s="81"/>
      <c r="AT945" s="81"/>
      <c r="AU945" s="81"/>
      <c r="AV945" s="81"/>
      <c r="AW945" s="81"/>
      <c r="AX945" s="81"/>
      <c r="AY945" s="81"/>
      <c r="AZ945" s="81"/>
      <c r="BA945" s="81"/>
      <c r="BB945" s="81"/>
    </row>
    <row r="946">
      <c r="A946" s="3"/>
      <c r="B946" s="3"/>
      <c r="C946" s="3"/>
      <c r="D946" s="3"/>
      <c r="E946" s="3"/>
      <c r="F946" s="3"/>
      <c r="G946" s="136"/>
      <c r="H946" s="3"/>
      <c r="I946" s="3"/>
      <c r="J946" s="3"/>
      <c r="K946" s="3"/>
      <c r="L946" s="3"/>
      <c r="M946" s="3"/>
      <c r="N946" s="70"/>
      <c r="O946" s="3"/>
      <c r="P946" s="3"/>
      <c r="Q946" s="25"/>
      <c r="R946" s="3"/>
      <c r="S946" s="1"/>
      <c r="T946" s="1"/>
      <c r="U946" s="1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81"/>
      <c r="AN946" s="81"/>
      <c r="AO946" s="81"/>
      <c r="AP946" s="81"/>
      <c r="AQ946" s="81"/>
      <c r="AR946" s="81"/>
      <c r="AS946" s="81"/>
      <c r="AT946" s="81"/>
      <c r="AU946" s="81"/>
      <c r="AV946" s="81"/>
      <c r="AW946" s="81"/>
      <c r="AX946" s="81"/>
      <c r="AY946" s="81"/>
      <c r="AZ946" s="81"/>
      <c r="BA946" s="81"/>
      <c r="BB946" s="81"/>
    </row>
    <row r="947">
      <c r="A947" s="3"/>
      <c r="B947" s="3"/>
      <c r="C947" s="3"/>
      <c r="D947" s="3"/>
      <c r="E947" s="3"/>
      <c r="F947" s="3"/>
      <c r="G947" s="136"/>
      <c r="H947" s="3"/>
      <c r="I947" s="3"/>
      <c r="J947" s="1"/>
      <c r="K947" s="3"/>
      <c r="L947" s="3"/>
      <c r="M947" s="3"/>
      <c r="N947" s="70"/>
      <c r="O947" s="3"/>
      <c r="P947" s="3"/>
      <c r="Q947" s="25"/>
      <c r="R947" s="3"/>
      <c r="S947" s="1"/>
      <c r="T947" s="1"/>
      <c r="U947" s="1"/>
      <c r="V947" s="3"/>
      <c r="W947" s="3"/>
      <c r="X947" s="1"/>
      <c r="Y947" s="1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81"/>
      <c r="AN947" s="81"/>
      <c r="AO947" s="81"/>
      <c r="AP947" s="81"/>
      <c r="AQ947" s="81"/>
      <c r="AR947" s="81"/>
      <c r="AS947" s="81"/>
      <c r="AT947" s="81"/>
      <c r="AU947" s="81"/>
      <c r="AV947" s="81"/>
      <c r="AW947" s="81"/>
      <c r="AX947" s="81"/>
      <c r="AY947" s="81"/>
      <c r="AZ947" s="81"/>
      <c r="BA947" s="81"/>
      <c r="BB947" s="81"/>
    </row>
    <row r="948">
      <c r="A948" s="3"/>
      <c r="B948" s="3"/>
      <c r="C948" s="3"/>
      <c r="D948" s="3"/>
      <c r="E948" s="3"/>
      <c r="F948" s="3"/>
      <c r="G948" s="136"/>
      <c r="H948" s="3"/>
      <c r="I948" s="3"/>
      <c r="J948" s="3"/>
      <c r="K948" s="3"/>
      <c r="L948" s="3"/>
      <c r="M948" s="3"/>
      <c r="N948" s="105"/>
      <c r="O948" s="3"/>
      <c r="P948" s="3"/>
      <c r="Q948" s="25"/>
      <c r="R948" s="3"/>
      <c r="S948" s="1"/>
      <c r="T948" s="1"/>
      <c r="U948" s="1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81"/>
      <c r="AN948" s="81"/>
      <c r="AO948" s="81"/>
      <c r="AP948" s="81"/>
      <c r="AQ948" s="81"/>
      <c r="AR948" s="81"/>
      <c r="AS948" s="81"/>
      <c r="AT948" s="81"/>
      <c r="AU948" s="81"/>
      <c r="AV948" s="81"/>
      <c r="AW948" s="81"/>
      <c r="AX948" s="81"/>
      <c r="AY948" s="81"/>
      <c r="AZ948" s="81"/>
      <c r="BA948" s="81"/>
      <c r="BB948" s="81"/>
    </row>
    <row r="949">
      <c r="A949" s="3"/>
      <c r="B949" s="3"/>
      <c r="C949" s="3"/>
      <c r="D949" s="3"/>
      <c r="E949" s="3"/>
      <c r="F949" s="3"/>
      <c r="G949" s="136"/>
      <c r="H949" s="3"/>
      <c r="I949" s="3"/>
      <c r="J949" s="1"/>
      <c r="K949" s="3"/>
      <c r="L949" s="3"/>
      <c r="M949" s="3"/>
      <c r="N949" s="70"/>
      <c r="O949" s="3"/>
      <c r="P949" s="3"/>
      <c r="Q949" s="25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1"/>
      <c r="AH949" s="3"/>
      <c r="AI949" s="1"/>
      <c r="AJ949" s="3"/>
      <c r="AK949" s="1"/>
      <c r="AL949" s="3"/>
      <c r="AM949" s="81"/>
      <c r="AN949" s="81"/>
      <c r="AO949" s="81"/>
      <c r="AP949" s="81"/>
      <c r="AQ949" s="81"/>
      <c r="AR949" s="81"/>
      <c r="AS949" s="81"/>
      <c r="AT949" s="81"/>
      <c r="AU949" s="81"/>
      <c r="AV949" s="81"/>
      <c r="AW949" s="81"/>
      <c r="AX949" s="81"/>
      <c r="AY949" s="81"/>
      <c r="AZ949" s="81"/>
      <c r="BA949" s="81"/>
      <c r="BB949" s="81"/>
    </row>
    <row r="950">
      <c r="A950" s="3"/>
      <c r="B950" s="3"/>
      <c r="C950" s="3"/>
      <c r="D950" s="144"/>
      <c r="E950" s="3"/>
      <c r="F950" s="3"/>
      <c r="G950" s="136"/>
      <c r="H950" s="3"/>
      <c r="I950" s="3"/>
      <c r="J950" s="3"/>
      <c r="K950" s="3"/>
      <c r="L950" s="3"/>
      <c r="M950" s="3"/>
      <c r="N950" s="70"/>
      <c r="O950" s="3"/>
      <c r="P950" s="3"/>
      <c r="Q950" s="25"/>
      <c r="R950" s="3"/>
      <c r="S950" s="3"/>
      <c r="T950" s="1"/>
      <c r="U950" s="1"/>
      <c r="V950" s="3"/>
      <c r="W950" s="3"/>
      <c r="X950" s="1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81"/>
      <c r="AN950" s="81"/>
      <c r="AO950" s="81"/>
      <c r="AP950" s="81"/>
      <c r="AQ950" s="81"/>
      <c r="AR950" s="81"/>
      <c r="AS950" s="81"/>
      <c r="AT950" s="81"/>
      <c r="AU950" s="81"/>
      <c r="AV950" s="81"/>
      <c r="AW950" s="81"/>
      <c r="AX950" s="81"/>
      <c r="AY950" s="81"/>
      <c r="AZ950" s="81"/>
      <c r="BA950" s="81"/>
      <c r="BB950" s="81"/>
    </row>
    <row r="951">
      <c r="A951" s="3"/>
      <c r="B951" s="3"/>
      <c r="C951" s="3"/>
      <c r="D951" s="1"/>
      <c r="E951" s="3"/>
      <c r="F951" s="3"/>
      <c r="G951" s="136"/>
      <c r="H951" s="3"/>
      <c r="I951" s="3"/>
      <c r="J951" s="3"/>
      <c r="K951" s="3"/>
      <c r="L951" s="3"/>
      <c r="M951" s="3"/>
      <c r="N951" s="70"/>
      <c r="O951" s="3"/>
      <c r="P951" s="3"/>
      <c r="Q951" s="25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81"/>
      <c r="AN951" s="81"/>
      <c r="AO951" s="81"/>
      <c r="AP951" s="81"/>
      <c r="AQ951" s="81"/>
      <c r="AR951" s="81"/>
      <c r="AS951" s="81"/>
      <c r="AT951" s="81"/>
      <c r="AU951" s="81"/>
      <c r="AV951" s="81"/>
      <c r="AW951" s="81"/>
      <c r="AX951" s="81"/>
      <c r="AY951" s="81"/>
      <c r="AZ951" s="81"/>
      <c r="BA951" s="81"/>
      <c r="BB951" s="81"/>
    </row>
    <row r="952">
      <c r="A952" s="1"/>
      <c r="B952" s="3"/>
      <c r="C952" s="3"/>
      <c r="D952" s="126"/>
      <c r="E952" s="3"/>
      <c r="F952" s="3"/>
      <c r="G952" s="136"/>
      <c r="H952" s="3"/>
      <c r="I952" s="3"/>
      <c r="J952" s="1"/>
      <c r="K952" s="3"/>
      <c r="L952" s="3"/>
      <c r="M952" s="3"/>
      <c r="N952" s="70"/>
      <c r="O952" s="3"/>
      <c r="P952" s="3"/>
      <c r="Q952" s="25"/>
      <c r="R952" s="1"/>
      <c r="S952" s="1"/>
      <c r="T952" s="1"/>
      <c r="U952" s="1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81"/>
      <c r="AN952" s="81"/>
      <c r="AO952" s="81"/>
      <c r="AP952" s="81"/>
      <c r="AQ952" s="81"/>
      <c r="AR952" s="81"/>
      <c r="AS952" s="81"/>
      <c r="AT952" s="81"/>
      <c r="AU952" s="81"/>
      <c r="AV952" s="81"/>
      <c r="AW952" s="81"/>
      <c r="AX952" s="81"/>
      <c r="AY952" s="81"/>
      <c r="AZ952" s="81"/>
      <c r="BA952" s="81"/>
      <c r="BB952" s="81"/>
    </row>
    <row r="953">
      <c r="A953" s="3"/>
      <c r="B953" s="3"/>
      <c r="C953" s="3"/>
      <c r="D953" s="3"/>
      <c r="E953" s="115"/>
      <c r="F953" s="3"/>
      <c r="G953" s="136"/>
      <c r="H953" s="3"/>
      <c r="I953" s="3"/>
      <c r="J953" s="3"/>
      <c r="K953" s="3"/>
      <c r="L953" s="3"/>
      <c r="M953" s="3"/>
      <c r="N953" s="70"/>
      <c r="O953" s="3"/>
      <c r="P953" s="3"/>
      <c r="Q953" s="25"/>
      <c r="R953" s="3"/>
      <c r="S953" s="1"/>
      <c r="T953" s="1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81"/>
      <c r="AN953" s="81"/>
      <c r="AO953" s="81"/>
      <c r="AP953" s="81"/>
      <c r="AQ953" s="81"/>
      <c r="AR953" s="81"/>
      <c r="AS953" s="81"/>
      <c r="AT953" s="81"/>
      <c r="AU953" s="81"/>
      <c r="AV953" s="81"/>
      <c r="AW953" s="81"/>
      <c r="AX953" s="81"/>
      <c r="AY953" s="81"/>
      <c r="AZ953" s="81"/>
      <c r="BA953" s="81"/>
      <c r="BB953" s="81"/>
    </row>
    <row r="954">
      <c r="A954" s="3"/>
      <c r="B954" s="3"/>
      <c r="C954" s="3"/>
      <c r="D954" s="141"/>
      <c r="E954" s="3"/>
      <c r="F954" s="3"/>
      <c r="G954" s="136"/>
      <c r="H954" s="3"/>
      <c r="I954" s="3"/>
      <c r="J954" s="1"/>
      <c r="K954" s="3"/>
      <c r="L954" s="3"/>
      <c r="M954" s="3"/>
      <c r="N954" s="70"/>
      <c r="O954" s="3"/>
      <c r="P954" s="3"/>
      <c r="Q954" s="25"/>
      <c r="R954" s="3"/>
      <c r="S954" s="1"/>
      <c r="T954" s="1"/>
      <c r="U954" s="1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81"/>
      <c r="AN954" s="81"/>
      <c r="AO954" s="81"/>
      <c r="AP954" s="81"/>
      <c r="AQ954" s="81"/>
      <c r="AR954" s="81"/>
      <c r="AS954" s="81"/>
      <c r="AT954" s="81"/>
      <c r="AU954" s="81"/>
      <c r="AV954" s="81"/>
      <c r="AW954" s="81"/>
      <c r="AX954" s="81"/>
      <c r="AY954" s="81"/>
      <c r="AZ954" s="81"/>
      <c r="BA954" s="81"/>
      <c r="BB954" s="81"/>
    </row>
    <row r="955">
      <c r="A955" s="3"/>
      <c r="B955" s="3"/>
      <c r="C955" s="3"/>
      <c r="D955" s="3"/>
      <c r="E955" s="3"/>
      <c r="F955" s="3"/>
      <c r="G955" s="136"/>
      <c r="H955" s="3"/>
      <c r="I955" s="3"/>
      <c r="J955" s="3"/>
      <c r="K955" s="3"/>
      <c r="L955" s="3"/>
      <c r="M955" s="3"/>
      <c r="N955" s="70"/>
      <c r="O955" s="3"/>
      <c r="P955" s="3"/>
      <c r="Q955" s="25"/>
      <c r="R955" s="3"/>
      <c r="S955" s="1"/>
      <c r="T955" s="1"/>
      <c r="U955" s="1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81"/>
      <c r="AN955" s="81"/>
      <c r="AO955" s="81"/>
      <c r="AP955" s="81"/>
      <c r="AQ955" s="81"/>
      <c r="AR955" s="81"/>
      <c r="AS955" s="81"/>
      <c r="AT955" s="81"/>
      <c r="AU955" s="81"/>
      <c r="AV955" s="81"/>
      <c r="AW955" s="81"/>
      <c r="AX955" s="81"/>
      <c r="AY955" s="81"/>
      <c r="AZ955" s="81"/>
      <c r="BA955" s="81"/>
      <c r="BB955" s="81"/>
    </row>
    <row r="956">
      <c r="A956" s="3"/>
      <c r="B956" s="3"/>
      <c r="C956" s="3"/>
      <c r="D956" s="1"/>
      <c r="E956" s="3"/>
      <c r="F956" s="3"/>
      <c r="G956" s="136"/>
      <c r="H956" s="3"/>
      <c r="I956" s="3"/>
      <c r="J956" s="1"/>
      <c r="K956" s="3"/>
      <c r="L956" s="3"/>
      <c r="M956" s="3"/>
      <c r="N956" s="70"/>
      <c r="O956" s="3"/>
      <c r="P956" s="3"/>
      <c r="Q956" s="25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81"/>
      <c r="AN956" s="81"/>
      <c r="AO956" s="81"/>
      <c r="AP956" s="81"/>
      <c r="AQ956" s="81"/>
      <c r="AR956" s="81"/>
      <c r="AS956" s="81"/>
      <c r="AT956" s="81"/>
      <c r="AU956" s="81"/>
      <c r="AV956" s="81"/>
      <c r="AW956" s="81"/>
      <c r="AX956" s="81"/>
      <c r="AY956" s="81"/>
      <c r="AZ956" s="81"/>
      <c r="BA956" s="81"/>
      <c r="BB956" s="81"/>
    </row>
    <row r="957">
      <c r="A957" s="3"/>
      <c r="B957" s="1"/>
      <c r="C957" s="3"/>
      <c r="D957" s="140"/>
      <c r="E957" s="1"/>
      <c r="F957" s="3"/>
      <c r="G957" s="136"/>
      <c r="H957" s="3"/>
      <c r="I957" s="169"/>
      <c r="J957" s="1"/>
      <c r="K957" s="3"/>
      <c r="L957" s="3"/>
      <c r="M957" s="3"/>
      <c r="N957" s="105"/>
      <c r="O957" s="3"/>
      <c r="P957" s="3"/>
      <c r="Q957" s="25"/>
      <c r="R957" s="1"/>
      <c r="S957" s="1"/>
      <c r="T957" s="1"/>
      <c r="U957" s="1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81"/>
      <c r="AN957" s="81"/>
      <c r="AO957" s="81"/>
      <c r="AP957" s="81"/>
      <c r="AQ957" s="81"/>
      <c r="AR957" s="81"/>
      <c r="AS957" s="81"/>
      <c r="AT957" s="81"/>
      <c r="AU957" s="81"/>
      <c r="AV957" s="81"/>
      <c r="AW957" s="81"/>
      <c r="AX957" s="81"/>
      <c r="AY957" s="81"/>
      <c r="AZ957" s="81"/>
      <c r="BA957" s="81"/>
      <c r="BB957" s="81"/>
    </row>
    <row r="958">
      <c r="A958" s="3"/>
      <c r="B958" s="3"/>
      <c r="C958" s="3"/>
      <c r="D958" s="3"/>
      <c r="E958" s="3"/>
      <c r="F958" s="3"/>
      <c r="G958" s="136"/>
      <c r="H958" s="3"/>
      <c r="I958" s="3"/>
      <c r="J958" s="1"/>
      <c r="K958" s="3"/>
      <c r="L958" s="3"/>
      <c r="M958" s="3"/>
      <c r="N958" s="70"/>
      <c r="O958" s="3"/>
      <c r="P958" s="3"/>
      <c r="Q958" s="25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81"/>
      <c r="AN958" s="81"/>
      <c r="AO958" s="81"/>
      <c r="AP958" s="81"/>
      <c r="AQ958" s="81"/>
      <c r="AR958" s="81"/>
      <c r="AS958" s="81"/>
      <c r="AT958" s="81"/>
      <c r="AU958" s="81"/>
      <c r="AV958" s="81"/>
      <c r="AW958" s="81"/>
      <c r="AX958" s="81"/>
      <c r="AY958" s="81"/>
      <c r="AZ958" s="81"/>
      <c r="BA958" s="81"/>
      <c r="BB958" s="81"/>
    </row>
    <row r="959">
      <c r="A959" s="3"/>
      <c r="B959" s="3"/>
      <c r="C959" s="3"/>
      <c r="D959" s="3"/>
      <c r="E959" s="3"/>
      <c r="F959" s="3"/>
      <c r="G959" s="136"/>
      <c r="H959" s="3"/>
      <c r="I959" s="3"/>
      <c r="J959" s="1"/>
      <c r="K959" s="3"/>
      <c r="L959" s="3"/>
      <c r="M959" s="3"/>
      <c r="N959" s="70"/>
      <c r="O959" s="3"/>
      <c r="P959" s="3"/>
      <c r="Q959" s="25"/>
      <c r="R959" s="1"/>
      <c r="S959" s="1"/>
      <c r="T959" s="1"/>
      <c r="U959" s="1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81"/>
      <c r="AN959" s="81"/>
      <c r="AO959" s="81"/>
      <c r="AP959" s="81"/>
      <c r="AQ959" s="81"/>
      <c r="AR959" s="81"/>
      <c r="AS959" s="81"/>
      <c r="AT959" s="81"/>
      <c r="AU959" s="81"/>
      <c r="AV959" s="81"/>
      <c r="AW959" s="81"/>
      <c r="AX959" s="81"/>
      <c r="AY959" s="81"/>
      <c r="AZ959" s="81"/>
      <c r="BA959" s="81"/>
      <c r="BB959" s="81"/>
    </row>
    <row r="960">
      <c r="A960" s="3"/>
      <c r="B960" s="3"/>
      <c r="C960" s="3"/>
      <c r="D960" s="3"/>
      <c r="E960" s="3"/>
      <c r="F960" s="3"/>
      <c r="G960" s="136"/>
      <c r="H960" s="3"/>
      <c r="I960" s="3"/>
      <c r="J960" s="3"/>
      <c r="K960" s="3"/>
      <c r="L960" s="3"/>
      <c r="M960" s="3"/>
      <c r="N960" s="70"/>
      <c r="O960" s="3"/>
      <c r="P960" s="3"/>
      <c r="Q960" s="25"/>
      <c r="R960" s="3"/>
      <c r="S960" s="1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81"/>
      <c r="AN960" s="81"/>
      <c r="AO960" s="81"/>
      <c r="AP960" s="81"/>
      <c r="AQ960" s="81"/>
      <c r="AR960" s="81"/>
      <c r="AS960" s="81"/>
      <c r="AT960" s="81"/>
      <c r="AU960" s="81"/>
      <c r="AV960" s="81"/>
      <c r="AW960" s="81"/>
      <c r="AX960" s="81"/>
      <c r="AY960" s="81"/>
      <c r="AZ960" s="81"/>
      <c r="BA960" s="81"/>
      <c r="BB960" s="81"/>
    </row>
    <row r="961">
      <c r="A961" s="3"/>
      <c r="B961" s="3"/>
      <c r="C961" s="3"/>
      <c r="D961" s="3"/>
      <c r="E961" s="3"/>
      <c r="F961" s="3"/>
      <c r="G961" s="136"/>
      <c r="H961" s="3"/>
      <c r="I961" s="3"/>
      <c r="J961" s="3"/>
      <c r="K961" s="3"/>
      <c r="L961" s="3"/>
      <c r="M961" s="3"/>
      <c r="N961" s="70"/>
      <c r="O961" s="3"/>
      <c r="P961" s="3"/>
      <c r="Q961" s="142"/>
      <c r="R961" s="1"/>
      <c r="S961" s="1"/>
      <c r="T961" s="1"/>
      <c r="U961" s="1"/>
      <c r="V961" s="3"/>
      <c r="W961" s="3"/>
      <c r="X961" s="1"/>
      <c r="Y961" s="1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81"/>
      <c r="AN961" s="81"/>
      <c r="AO961" s="81"/>
      <c r="AP961" s="81"/>
      <c r="AQ961" s="81"/>
      <c r="AR961" s="81"/>
      <c r="AS961" s="81"/>
      <c r="AT961" s="81"/>
      <c r="AU961" s="81"/>
      <c r="AV961" s="81"/>
      <c r="AW961" s="81"/>
      <c r="AX961" s="81"/>
      <c r="AY961" s="81"/>
      <c r="AZ961" s="81"/>
      <c r="BA961" s="81"/>
      <c r="BB961" s="81"/>
    </row>
    <row r="962">
      <c r="A962" s="3"/>
      <c r="B962" s="3"/>
      <c r="C962" s="3"/>
      <c r="D962" s="130"/>
      <c r="E962" s="170"/>
      <c r="F962" s="3"/>
      <c r="G962" s="136"/>
      <c r="H962" s="3"/>
      <c r="I962" s="3"/>
      <c r="J962" s="1"/>
      <c r="K962" s="3"/>
      <c r="L962" s="3"/>
      <c r="M962" s="3"/>
      <c r="N962" s="105"/>
      <c r="O962" s="1"/>
      <c r="P962" s="3"/>
      <c r="Q962" s="25"/>
      <c r="R962" s="1"/>
      <c r="S962" s="1"/>
      <c r="T962" s="1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107"/>
      <c r="AN962" s="81"/>
      <c r="AO962" s="81"/>
      <c r="AP962" s="81"/>
      <c r="AQ962" s="81"/>
      <c r="AR962" s="81"/>
      <c r="AS962" s="81"/>
      <c r="AT962" s="81"/>
      <c r="AU962" s="81"/>
      <c r="AV962" s="81"/>
      <c r="AW962" s="81"/>
      <c r="AX962" s="81"/>
      <c r="AY962" s="81"/>
      <c r="AZ962" s="81"/>
      <c r="BA962" s="81"/>
      <c r="BB962" s="81"/>
    </row>
    <row r="963">
      <c r="A963" s="1"/>
      <c r="B963" s="3"/>
      <c r="C963" s="3"/>
      <c r="D963" s="1"/>
      <c r="E963" s="3"/>
      <c r="F963" s="1"/>
      <c r="G963" s="136"/>
      <c r="H963" s="3"/>
      <c r="I963" s="3"/>
      <c r="J963" s="1"/>
      <c r="K963" s="3"/>
      <c r="L963" s="3"/>
      <c r="M963" s="3"/>
      <c r="N963" s="70"/>
      <c r="O963" s="3"/>
      <c r="P963" s="3"/>
      <c r="Q963" s="25"/>
      <c r="R963" s="1"/>
      <c r="S963" s="1"/>
      <c r="T963" s="1"/>
      <c r="U963" s="1"/>
      <c r="V963" s="3"/>
      <c r="W963" s="1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81"/>
      <c r="AN963" s="81"/>
      <c r="AO963" s="81"/>
      <c r="AP963" s="81"/>
      <c r="AQ963" s="81"/>
      <c r="AR963" s="81"/>
      <c r="AS963" s="81"/>
      <c r="AT963" s="81"/>
      <c r="AU963" s="81"/>
      <c r="AV963" s="81"/>
      <c r="AW963" s="81"/>
      <c r="AX963" s="81"/>
      <c r="AY963" s="81"/>
      <c r="AZ963" s="81"/>
      <c r="BA963" s="81"/>
      <c r="BB963" s="81"/>
    </row>
    <row r="964">
      <c r="A964" s="3"/>
      <c r="B964" s="3"/>
      <c r="C964" s="3"/>
      <c r="D964" s="3"/>
      <c r="E964" s="3"/>
      <c r="F964" s="3"/>
      <c r="G964" s="136"/>
      <c r="H964" s="3"/>
      <c r="I964" s="3"/>
      <c r="J964" s="3"/>
      <c r="K964" s="3"/>
      <c r="L964" s="3"/>
      <c r="M964" s="3"/>
      <c r="N964" s="70"/>
      <c r="O964" s="3"/>
      <c r="P964" s="3"/>
      <c r="Q964" s="25"/>
      <c r="R964" s="3"/>
      <c r="S964" s="1"/>
      <c r="T964" s="1"/>
      <c r="U964" s="1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81"/>
      <c r="AN964" s="81"/>
      <c r="AO964" s="81"/>
      <c r="AP964" s="81"/>
      <c r="AQ964" s="81"/>
      <c r="AR964" s="81"/>
      <c r="AS964" s="81"/>
      <c r="AT964" s="81"/>
      <c r="AU964" s="81"/>
      <c r="AV964" s="81"/>
      <c r="AW964" s="81"/>
      <c r="AX964" s="81"/>
      <c r="AY964" s="81"/>
      <c r="AZ964" s="81"/>
      <c r="BA964" s="81"/>
      <c r="BB964" s="81"/>
    </row>
    <row r="965">
      <c r="A965" s="3"/>
      <c r="B965" s="3"/>
      <c r="C965" s="3"/>
      <c r="D965" s="3"/>
      <c r="E965" s="3"/>
      <c r="F965" s="3"/>
      <c r="G965" s="136"/>
      <c r="H965" s="3"/>
      <c r="I965" s="3"/>
      <c r="J965" s="3"/>
      <c r="K965" s="171"/>
      <c r="L965" s="3"/>
      <c r="M965" s="3"/>
      <c r="N965" s="70"/>
      <c r="O965" s="3"/>
      <c r="P965" s="3"/>
      <c r="Q965" s="25"/>
      <c r="R965" s="1"/>
      <c r="S965" s="1"/>
      <c r="T965" s="1"/>
      <c r="U965" s="1"/>
      <c r="V965" s="3"/>
      <c r="W965" s="1"/>
      <c r="X965" s="1"/>
      <c r="Y965" s="1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81"/>
      <c r="AN965" s="81"/>
      <c r="AO965" s="81"/>
      <c r="AP965" s="81"/>
      <c r="AQ965" s="81"/>
      <c r="AR965" s="81"/>
      <c r="AS965" s="81"/>
      <c r="AT965" s="81"/>
      <c r="AU965" s="81"/>
      <c r="AV965" s="81"/>
      <c r="AW965" s="81"/>
      <c r="AX965" s="81"/>
      <c r="AY965" s="81"/>
      <c r="AZ965" s="81"/>
      <c r="BA965" s="81"/>
      <c r="BB965" s="81"/>
    </row>
    <row r="966">
      <c r="A966" s="3"/>
      <c r="B966" s="3"/>
      <c r="C966" s="3"/>
      <c r="D966" s="3"/>
      <c r="E966" s="3"/>
      <c r="F966" s="3"/>
      <c r="G966" s="136"/>
      <c r="H966" s="3"/>
      <c r="I966" s="3"/>
      <c r="J966" s="1"/>
      <c r="K966" s="3"/>
      <c r="L966" s="3"/>
      <c r="M966" s="3"/>
      <c r="N966" s="70"/>
      <c r="O966" s="3"/>
      <c r="P966" s="3"/>
      <c r="Q966" s="25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81"/>
      <c r="AN966" s="81"/>
      <c r="AO966" s="81"/>
      <c r="AP966" s="81"/>
      <c r="AQ966" s="81"/>
      <c r="AR966" s="81"/>
      <c r="AS966" s="81"/>
      <c r="AT966" s="81"/>
      <c r="AU966" s="81"/>
      <c r="AV966" s="81"/>
      <c r="AW966" s="81"/>
      <c r="AX966" s="81"/>
      <c r="AY966" s="81"/>
      <c r="AZ966" s="81"/>
      <c r="BA966" s="81"/>
      <c r="BB966" s="81"/>
    </row>
    <row r="967">
      <c r="A967" s="3"/>
      <c r="B967" s="3"/>
      <c r="C967" s="3"/>
      <c r="D967" s="3"/>
      <c r="E967" s="3"/>
      <c r="F967" s="3"/>
      <c r="G967" s="136"/>
      <c r="H967" s="3"/>
      <c r="I967" s="3"/>
      <c r="J967" s="1"/>
      <c r="K967" s="3"/>
      <c r="L967" s="3"/>
      <c r="M967" s="3"/>
      <c r="N967" s="70"/>
      <c r="O967" s="3"/>
      <c r="P967" s="3"/>
      <c r="Q967" s="25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81"/>
      <c r="AN967" s="81"/>
      <c r="AO967" s="81"/>
      <c r="AP967" s="81"/>
      <c r="AQ967" s="81"/>
      <c r="AR967" s="81"/>
      <c r="AS967" s="81"/>
      <c r="AT967" s="81"/>
      <c r="AU967" s="81"/>
      <c r="AV967" s="81"/>
      <c r="AW967" s="81"/>
      <c r="AX967" s="81"/>
      <c r="AY967" s="81"/>
      <c r="AZ967" s="81"/>
      <c r="BA967" s="81"/>
      <c r="BB967" s="81"/>
    </row>
    <row r="968">
      <c r="A968" s="3"/>
      <c r="B968" s="3"/>
      <c r="C968" s="3"/>
      <c r="D968" s="146"/>
      <c r="E968" s="3"/>
      <c r="F968" s="3"/>
      <c r="G968" s="136"/>
      <c r="H968" s="3"/>
      <c r="I968" s="3"/>
      <c r="J968" s="1"/>
      <c r="K968" s="3"/>
      <c r="L968" s="3"/>
      <c r="M968" s="3"/>
      <c r="N968" s="70"/>
      <c r="O968" s="3"/>
      <c r="P968" s="3"/>
      <c r="Q968" s="25"/>
      <c r="R968" s="3"/>
      <c r="S968" s="1"/>
      <c r="T968" s="1"/>
      <c r="U968" s="1"/>
      <c r="V968" s="3"/>
      <c r="W968" s="3"/>
      <c r="X968" s="1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81"/>
      <c r="AN968" s="81"/>
      <c r="AO968" s="81"/>
      <c r="AP968" s="81"/>
      <c r="AQ968" s="81"/>
      <c r="AR968" s="81"/>
      <c r="AS968" s="81"/>
      <c r="AT968" s="81"/>
      <c r="AU968" s="81"/>
      <c r="AV968" s="81"/>
      <c r="AW968" s="81"/>
      <c r="AX968" s="81"/>
      <c r="AY968" s="81"/>
      <c r="AZ968" s="81"/>
      <c r="BA968" s="81"/>
      <c r="BB968" s="81"/>
    </row>
    <row r="969">
      <c r="A969" s="3"/>
      <c r="B969" s="3"/>
      <c r="C969" s="3"/>
      <c r="D969" s="3"/>
      <c r="E969" s="3"/>
      <c r="F969" s="3"/>
      <c r="G969" s="136"/>
      <c r="H969" s="3"/>
      <c r="I969" s="3"/>
      <c r="J969" s="1"/>
      <c r="K969" s="3"/>
      <c r="L969" s="3"/>
      <c r="M969" s="3"/>
      <c r="N969" s="70"/>
      <c r="O969" s="3"/>
      <c r="P969" s="3"/>
      <c r="Q969" s="25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81"/>
      <c r="AN969" s="81"/>
      <c r="AO969" s="81"/>
      <c r="AP969" s="81"/>
      <c r="AQ969" s="81"/>
      <c r="AR969" s="81"/>
      <c r="AS969" s="81"/>
      <c r="AT969" s="81"/>
      <c r="AU969" s="81"/>
      <c r="AV969" s="81"/>
      <c r="AW969" s="81"/>
      <c r="AX969" s="81"/>
      <c r="AY969" s="81"/>
      <c r="AZ969" s="81"/>
      <c r="BA969" s="81"/>
      <c r="BB969" s="81"/>
    </row>
    <row r="970">
      <c r="A970" s="3"/>
      <c r="B970" s="1"/>
      <c r="C970" s="3"/>
      <c r="D970" s="1"/>
      <c r="E970" s="3"/>
      <c r="F970" s="3"/>
      <c r="G970" s="136"/>
      <c r="H970" s="3"/>
      <c r="I970" s="1"/>
      <c r="J970" s="1"/>
      <c r="K970" s="3"/>
      <c r="L970" s="3"/>
      <c r="M970" s="3"/>
      <c r="N970" s="105"/>
      <c r="O970" s="1"/>
      <c r="P970" s="3"/>
      <c r="Q970" s="25"/>
      <c r="R970" s="1"/>
      <c r="S970" s="1"/>
      <c r="T970" s="3"/>
      <c r="U970" s="3"/>
      <c r="V970" s="1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81"/>
      <c r="AN970" s="81"/>
      <c r="AO970" s="81"/>
      <c r="AP970" s="81"/>
      <c r="AQ970" s="81"/>
      <c r="AR970" s="81"/>
      <c r="AS970" s="81"/>
      <c r="AT970" s="81"/>
      <c r="AU970" s="81"/>
      <c r="AV970" s="81"/>
      <c r="AW970" s="81"/>
      <c r="AX970" s="81"/>
      <c r="AY970" s="81"/>
      <c r="AZ970" s="81"/>
      <c r="BA970" s="81"/>
      <c r="BB970" s="81"/>
    </row>
    <row r="971">
      <c r="A971" s="3"/>
      <c r="B971" s="3"/>
      <c r="C971" s="3"/>
      <c r="D971" s="3"/>
      <c r="E971" s="3"/>
      <c r="F971" s="3"/>
      <c r="G971" s="136"/>
      <c r="H971" s="3"/>
      <c r="I971" s="3"/>
      <c r="J971" s="1"/>
      <c r="K971" s="3"/>
      <c r="L971" s="3"/>
      <c r="M971" s="3"/>
      <c r="N971" s="70"/>
      <c r="O971" s="3"/>
      <c r="P971" s="3"/>
      <c r="Q971" s="25"/>
      <c r="R971" s="3"/>
      <c r="S971" s="1"/>
      <c r="T971" s="1"/>
      <c r="U971" s="1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81"/>
      <c r="AN971" s="81"/>
      <c r="AO971" s="81"/>
      <c r="AP971" s="81"/>
      <c r="AQ971" s="81"/>
      <c r="AR971" s="81"/>
      <c r="AS971" s="81"/>
      <c r="AT971" s="81"/>
      <c r="AU971" s="81"/>
      <c r="AV971" s="81"/>
      <c r="AW971" s="81"/>
      <c r="AX971" s="81"/>
      <c r="AY971" s="81"/>
      <c r="AZ971" s="81"/>
      <c r="BA971" s="81"/>
      <c r="BB971" s="81"/>
    </row>
    <row r="972">
      <c r="A972" s="1"/>
      <c r="B972" s="3"/>
      <c r="C972" s="3"/>
      <c r="D972" s="3"/>
      <c r="E972" s="3"/>
      <c r="F972" s="3"/>
      <c r="G972" s="136"/>
      <c r="H972" s="3"/>
      <c r="I972" s="3"/>
      <c r="J972" s="1"/>
      <c r="K972" s="3"/>
      <c r="L972" s="3"/>
      <c r="M972" s="3"/>
      <c r="N972" s="70"/>
      <c r="O972" s="3"/>
      <c r="P972" s="3"/>
      <c r="Q972" s="25"/>
      <c r="R972" s="3"/>
      <c r="S972" s="1"/>
      <c r="T972" s="1"/>
      <c r="U972" s="1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81"/>
      <c r="AN972" s="81"/>
      <c r="AO972" s="81"/>
      <c r="AP972" s="81"/>
      <c r="AQ972" s="81"/>
      <c r="AR972" s="81"/>
      <c r="AS972" s="81"/>
      <c r="AT972" s="81"/>
      <c r="AU972" s="81"/>
      <c r="AV972" s="81"/>
      <c r="AW972" s="81"/>
      <c r="AX972" s="81"/>
      <c r="AY972" s="81"/>
      <c r="AZ972" s="81"/>
      <c r="BA972" s="81"/>
      <c r="BB972" s="81"/>
    </row>
    <row r="973">
      <c r="A973" s="3"/>
      <c r="B973" s="3"/>
      <c r="C973" s="3"/>
      <c r="D973" s="1"/>
      <c r="E973" s="3"/>
      <c r="F973" s="3"/>
      <c r="G973" s="136"/>
      <c r="H973" s="3"/>
      <c r="I973" s="3"/>
      <c r="J973" s="3"/>
      <c r="K973" s="3"/>
      <c r="L973" s="3"/>
      <c r="M973" s="3"/>
      <c r="N973" s="70"/>
      <c r="O973" s="3"/>
      <c r="P973" s="3"/>
      <c r="Q973" s="25"/>
      <c r="R973" s="3"/>
      <c r="S973" s="3"/>
      <c r="T973" s="1"/>
      <c r="U973" s="1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81"/>
      <c r="AN973" s="81"/>
      <c r="AO973" s="81"/>
      <c r="AP973" s="81"/>
      <c r="AQ973" s="81"/>
      <c r="AR973" s="81"/>
      <c r="AS973" s="81"/>
      <c r="AT973" s="81"/>
      <c r="AU973" s="81"/>
      <c r="AV973" s="81"/>
      <c r="AW973" s="81"/>
      <c r="AX973" s="81"/>
      <c r="AY973" s="81"/>
      <c r="AZ973" s="81"/>
      <c r="BA973" s="81"/>
      <c r="BB973" s="81"/>
    </row>
    <row r="974">
      <c r="A974" s="3"/>
      <c r="B974" s="3"/>
      <c r="C974" s="3"/>
      <c r="D974" s="3"/>
      <c r="E974" s="3"/>
      <c r="F974" s="3"/>
      <c r="G974" s="136"/>
      <c r="H974" s="3"/>
      <c r="I974" s="3"/>
      <c r="J974" s="1"/>
      <c r="K974" s="3"/>
      <c r="L974" s="3"/>
      <c r="M974" s="3"/>
      <c r="N974" s="70"/>
      <c r="O974" s="3"/>
      <c r="P974" s="3"/>
      <c r="Q974" s="25"/>
      <c r="R974" s="3"/>
      <c r="S974" s="3"/>
      <c r="T974" s="3"/>
      <c r="U974" s="3"/>
      <c r="V974" s="3"/>
      <c r="W974" s="3"/>
      <c r="X974" s="3"/>
      <c r="Y974" s="1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81"/>
      <c r="AN974" s="81"/>
      <c r="AO974" s="81"/>
      <c r="AP974" s="81"/>
      <c r="AQ974" s="81"/>
      <c r="AR974" s="81"/>
      <c r="AS974" s="81"/>
      <c r="AT974" s="81"/>
      <c r="AU974" s="81"/>
      <c r="AV974" s="81"/>
      <c r="AW974" s="81"/>
      <c r="AX974" s="81"/>
      <c r="AY974" s="81"/>
      <c r="AZ974" s="81"/>
      <c r="BA974" s="81"/>
      <c r="BB974" s="81"/>
    </row>
    <row r="975">
      <c r="A975" s="3"/>
      <c r="B975" s="1"/>
      <c r="C975" s="3"/>
      <c r="D975" s="141"/>
      <c r="E975" s="1"/>
      <c r="F975" s="3"/>
      <c r="G975" s="136"/>
      <c r="H975" s="3"/>
      <c r="I975" s="172"/>
      <c r="J975" s="3"/>
      <c r="K975" s="3"/>
      <c r="L975" s="3"/>
      <c r="M975" s="3"/>
      <c r="N975" s="70"/>
      <c r="O975" s="3"/>
      <c r="P975" s="3"/>
      <c r="Q975" s="25"/>
      <c r="R975" s="1"/>
      <c r="S975" s="1"/>
      <c r="T975" s="1"/>
      <c r="U975" s="1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81"/>
      <c r="AN975" s="81"/>
      <c r="AO975" s="81"/>
      <c r="AP975" s="81"/>
      <c r="AQ975" s="81"/>
      <c r="AR975" s="81"/>
      <c r="AS975" s="81"/>
      <c r="AT975" s="81"/>
      <c r="AU975" s="81"/>
      <c r="AV975" s="81"/>
      <c r="AW975" s="81"/>
      <c r="AX975" s="81"/>
      <c r="AY975" s="81"/>
      <c r="AZ975" s="81"/>
      <c r="BA975" s="81"/>
      <c r="BB975" s="81"/>
    </row>
    <row r="976">
      <c r="A976" s="3"/>
      <c r="B976" s="3"/>
      <c r="C976" s="3"/>
      <c r="D976" s="3"/>
      <c r="E976" s="3"/>
      <c r="F976" s="3"/>
      <c r="G976" s="136"/>
      <c r="H976" s="3"/>
      <c r="I976" s="3"/>
      <c r="J976" s="1"/>
      <c r="K976" s="3"/>
      <c r="L976" s="3"/>
      <c r="M976" s="3"/>
      <c r="N976" s="70"/>
      <c r="O976" s="3"/>
      <c r="P976" s="3"/>
      <c r="Q976" s="25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81"/>
      <c r="AN976" s="81"/>
      <c r="AO976" s="81"/>
      <c r="AP976" s="81"/>
      <c r="AQ976" s="81"/>
      <c r="AR976" s="81"/>
      <c r="AS976" s="81"/>
      <c r="AT976" s="81"/>
      <c r="AU976" s="81"/>
      <c r="AV976" s="81"/>
      <c r="AW976" s="81"/>
      <c r="AX976" s="81"/>
      <c r="AY976" s="81"/>
      <c r="AZ976" s="81"/>
      <c r="BA976" s="81"/>
      <c r="BB976" s="81"/>
    </row>
    <row r="977">
      <c r="A977" s="3"/>
      <c r="B977" s="1"/>
      <c r="C977" s="3"/>
      <c r="D977" s="141"/>
      <c r="E977" s="3"/>
      <c r="F977" s="3"/>
      <c r="G977" s="136"/>
      <c r="H977" s="3"/>
      <c r="I977" s="3"/>
      <c r="J977" s="3"/>
      <c r="K977" s="3"/>
      <c r="L977" s="3"/>
      <c r="M977" s="3"/>
      <c r="N977" s="70"/>
      <c r="O977" s="3"/>
      <c r="P977" s="3"/>
      <c r="Q977" s="25"/>
      <c r="R977" s="1"/>
      <c r="S977" s="1"/>
      <c r="T977" s="1"/>
      <c r="U977" s="1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81"/>
      <c r="AN977" s="81"/>
      <c r="AO977" s="81"/>
      <c r="AP977" s="81"/>
      <c r="AQ977" s="81"/>
      <c r="AR977" s="81"/>
      <c r="AS977" s="81"/>
      <c r="AT977" s="81"/>
      <c r="AU977" s="81"/>
      <c r="AV977" s="81"/>
      <c r="AW977" s="81"/>
      <c r="AX977" s="81"/>
      <c r="AY977" s="81"/>
      <c r="AZ977" s="81"/>
      <c r="BA977" s="81"/>
      <c r="BB977" s="81"/>
    </row>
    <row r="978">
      <c r="A978" s="3"/>
      <c r="B978" s="3"/>
      <c r="C978" s="3"/>
      <c r="D978" s="149"/>
      <c r="E978" s="3"/>
      <c r="F978" s="3"/>
      <c r="G978" s="136"/>
      <c r="H978" s="3"/>
      <c r="I978" s="3"/>
      <c r="J978" s="1"/>
      <c r="K978" s="3"/>
      <c r="L978" s="3"/>
      <c r="M978" s="3"/>
      <c r="N978" s="70"/>
      <c r="O978" s="3"/>
      <c r="P978" s="3"/>
      <c r="Q978" s="25"/>
      <c r="R978" s="3"/>
      <c r="S978" s="1"/>
      <c r="T978" s="1"/>
      <c r="U978" s="1"/>
      <c r="V978" s="3"/>
      <c r="W978" s="3"/>
      <c r="X978" s="1"/>
      <c r="Y978" s="1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81"/>
      <c r="AN978" s="81"/>
      <c r="AO978" s="81"/>
      <c r="AP978" s="81"/>
      <c r="AQ978" s="81"/>
      <c r="AR978" s="81"/>
      <c r="AS978" s="81"/>
      <c r="AT978" s="81"/>
      <c r="AU978" s="81"/>
      <c r="AV978" s="81"/>
      <c r="AW978" s="81"/>
      <c r="AX978" s="81"/>
      <c r="AY978" s="81"/>
      <c r="AZ978" s="81"/>
      <c r="BA978" s="81"/>
      <c r="BB978" s="81"/>
    </row>
    <row r="979">
      <c r="A979" s="3"/>
      <c r="B979" s="3"/>
      <c r="C979" s="3"/>
      <c r="D979" s="131"/>
      <c r="E979" s="3"/>
      <c r="F979" s="3"/>
      <c r="G979" s="136"/>
      <c r="H979" s="3"/>
      <c r="I979" s="3"/>
      <c r="J979" s="3"/>
      <c r="K979" s="3"/>
      <c r="L979" s="3"/>
      <c r="M979" s="3"/>
      <c r="N979" s="70"/>
      <c r="O979" s="3"/>
      <c r="P979" s="3"/>
      <c r="Q979" s="25"/>
      <c r="R979" s="3"/>
      <c r="S979" s="1"/>
      <c r="T979" s="1"/>
      <c r="U979" s="1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81"/>
      <c r="AN979" s="81"/>
      <c r="AO979" s="81"/>
      <c r="AP979" s="81"/>
      <c r="AQ979" s="81"/>
      <c r="AR979" s="81"/>
      <c r="AS979" s="81"/>
      <c r="AT979" s="81"/>
      <c r="AU979" s="81"/>
      <c r="AV979" s="81"/>
      <c r="AW979" s="81"/>
      <c r="AX979" s="81"/>
      <c r="AY979" s="81"/>
      <c r="AZ979" s="81"/>
      <c r="BA979" s="81"/>
      <c r="BB979" s="81"/>
    </row>
    <row r="980">
      <c r="A980" s="3"/>
      <c r="B980" s="3"/>
      <c r="C980" s="3"/>
      <c r="D980" s="3"/>
      <c r="E980" s="3"/>
      <c r="F980" s="3"/>
      <c r="G980" s="136"/>
      <c r="H980" s="3"/>
      <c r="I980" s="3"/>
      <c r="J980" s="3"/>
      <c r="K980" s="3"/>
      <c r="L980" s="3"/>
      <c r="M980" s="3"/>
      <c r="N980" s="70"/>
      <c r="O980" s="3"/>
      <c r="P980" s="3"/>
      <c r="Q980" s="25"/>
      <c r="R980" s="3"/>
      <c r="S980" s="1"/>
      <c r="T980" s="1"/>
      <c r="U980" s="1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81"/>
      <c r="AN980" s="81"/>
      <c r="AO980" s="81"/>
      <c r="AP980" s="81"/>
      <c r="AQ980" s="81"/>
      <c r="AR980" s="81"/>
      <c r="AS980" s="81"/>
      <c r="AT980" s="81"/>
      <c r="AU980" s="81"/>
      <c r="AV980" s="81"/>
      <c r="AW980" s="81"/>
      <c r="AX980" s="81"/>
      <c r="AY980" s="81"/>
      <c r="AZ980" s="81"/>
      <c r="BA980" s="81"/>
      <c r="BB980" s="81"/>
    </row>
    <row r="981">
      <c r="A981" s="3"/>
      <c r="B981" s="3"/>
      <c r="C981" s="3"/>
      <c r="D981" s="149"/>
      <c r="E981" s="115"/>
      <c r="F981" s="3"/>
      <c r="G981" s="136"/>
      <c r="H981" s="3"/>
      <c r="I981" s="3"/>
      <c r="J981" s="3"/>
      <c r="K981" s="3"/>
      <c r="L981" s="3"/>
      <c r="M981" s="3"/>
      <c r="N981" s="70"/>
      <c r="O981" s="3"/>
      <c r="P981" s="3"/>
      <c r="Q981" s="25"/>
      <c r="R981" s="3"/>
      <c r="S981" s="1"/>
      <c r="T981" s="1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81"/>
      <c r="AN981" s="81"/>
      <c r="AO981" s="81"/>
      <c r="AP981" s="81"/>
      <c r="AQ981" s="81"/>
      <c r="AR981" s="81"/>
      <c r="AS981" s="81"/>
      <c r="AT981" s="81"/>
      <c r="AU981" s="81"/>
      <c r="AV981" s="81"/>
      <c r="AW981" s="81"/>
      <c r="AX981" s="81"/>
      <c r="AY981" s="81"/>
      <c r="AZ981" s="81"/>
      <c r="BA981" s="81"/>
      <c r="BB981" s="81"/>
    </row>
    <row r="982">
      <c r="A982" s="3"/>
      <c r="B982" s="3"/>
      <c r="C982" s="3"/>
      <c r="D982" s="3"/>
      <c r="E982" s="3"/>
      <c r="F982" s="3"/>
      <c r="G982" s="136"/>
      <c r="H982" s="3"/>
      <c r="I982" s="3"/>
      <c r="J982" s="1"/>
      <c r="K982" s="3"/>
      <c r="L982" s="3"/>
      <c r="M982" s="3"/>
      <c r="N982" s="70"/>
      <c r="O982" s="3"/>
      <c r="P982" s="3"/>
      <c r="Q982" s="25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81"/>
      <c r="AN982" s="81"/>
      <c r="AO982" s="81"/>
      <c r="AP982" s="81"/>
      <c r="AQ982" s="81"/>
      <c r="AR982" s="81"/>
      <c r="AS982" s="81"/>
      <c r="AT982" s="81"/>
      <c r="AU982" s="81"/>
      <c r="AV982" s="81"/>
      <c r="AW982" s="81"/>
      <c r="AX982" s="81"/>
      <c r="AY982" s="81"/>
      <c r="AZ982" s="81"/>
      <c r="BA982" s="81"/>
      <c r="BB982" s="81"/>
    </row>
    <row r="983">
      <c r="A983" s="3"/>
      <c r="B983" s="3"/>
      <c r="C983" s="3"/>
      <c r="D983" s="3"/>
      <c r="E983" s="3"/>
      <c r="F983" s="1"/>
      <c r="G983" s="136"/>
      <c r="H983" s="3"/>
      <c r="I983" s="3"/>
      <c r="J983" s="1"/>
      <c r="K983" s="3"/>
      <c r="L983" s="3"/>
      <c r="M983" s="3"/>
      <c r="N983" s="70"/>
      <c r="O983" s="3"/>
      <c r="P983" s="3"/>
      <c r="Q983" s="25"/>
      <c r="R983" s="1"/>
      <c r="S983" s="1"/>
      <c r="T983" s="1"/>
      <c r="U983" s="1"/>
      <c r="V983" s="1"/>
      <c r="W983" s="1"/>
      <c r="X983" s="1"/>
      <c r="Y983" s="1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81"/>
      <c r="AN983" s="81"/>
      <c r="AO983" s="81"/>
      <c r="AP983" s="81"/>
      <c r="AQ983" s="81"/>
      <c r="AR983" s="81"/>
      <c r="AS983" s="81"/>
      <c r="AT983" s="81"/>
      <c r="AU983" s="81"/>
      <c r="AV983" s="81"/>
      <c r="AW983" s="81"/>
      <c r="AX983" s="81"/>
      <c r="AY983" s="81"/>
      <c r="AZ983" s="81"/>
      <c r="BA983" s="81"/>
      <c r="BB983" s="81"/>
    </row>
    <row r="984">
      <c r="A984" s="3"/>
      <c r="B984" s="3"/>
      <c r="C984" s="3"/>
      <c r="D984" s="3"/>
      <c r="E984" s="3"/>
      <c r="F984" s="3"/>
      <c r="G984" s="136"/>
      <c r="H984" s="3"/>
      <c r="I984" s="3"/>
      <c r="J984" s="3"/>
      <c r="K984" s="3"/>
      <c r="L984" s="3"/>
      <c r="M984" s="3"/>
      <c r="N984" s="70"/>
      <c r="O984" s="3"/>
      <c r="P984" s="3"/>
      <c r="Q984" s="25"/>
      <c r="R984" s="3"/>
      <c r="S984" s="1"/>
      <c r="T984" s="1"/>
      <c r="U984" s="1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81"/>
      <c r="AN984" s="81"/>
      <c r="AO984" s="81"/>
      <c r="AP984" s="81"/>
      <c r="AQ984" s="81"/>
      <c r="AR984" s="81"/>
      <c r="AS984" s="81"/>
      <c r="AT984" s="81"/>
      <c r="AU984" s="81"/>
      <c r="AV984" s="81"/>
      <c r="AW984" s="81"/>
      <c r="AX984" s="81"/>
      <c r="AY984" s="81"/>
      <c r="AZ984" s="81"/>
      <c r="BA984" s="81"/>
      <c r="BB984" s="81"/>
    </row>
    <row r="985">
      <c r="A985" s="3"/>
      <c r="B985" s="3"/>
      <c r="C985" s="3"/>
      <c r="D985" s="3"/>
      <c r="E985" s="3"/>
      <c r="F985" s="3"/>
      <c r="G985" s="136"/>
      <c r="H985" s="3"/>
      <c r="I985" s="3"/>
      <c r="J985" s="1"/>
      <c r="K985" s="3"/>
      <c r="L985" s="3"/>
      <c r="M985" s="3"/>
      <c r="N985" s="70"/>
      <c r="O985" s="3"/>
      <c r="P985" s="3"/>
      <c r="Q985" s="25"/>
      <c r="R985" s="3"/>
      <c r="S985" s="1"/>
      <c r="T985" s="1"/>
      <c r="U985" s="1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81"/>
      <c r="AN985" s="81"/>
      <c r="AO985" s="81"/>
      <c r="AP985" s="81"/>
      <c r="AQ985" s="81"/>
      <c r="AR985" s="81"/>
      <c r="AS985" s="81"/>
      <c r="AT985" s="81"/>
      <c r="AU985" s="81"/>
      <c r="AV985" s="81"/>
      <c r="AW985" s="81"/>
      <c r="AX985" s="81"/>
      <c r="AY985" s="81"/>
      <c r="AZ985" s="81"/>
      <c r="BA985" s="81"/>
      <c r="BB985" s="81"/>
    </row>
    <row r="986">
      <c r="A986" s="3"/>
      <c r="B986" s="3"/>
      <c r="C986" s="3"/>
      <c r="D986" s="131"/>
      <c r="E986" s="3"/>
      <c r="F986" s="3"/>
      <c r="G986" s="136"/>
      <c r="H986" s="3"/>
      <c r="I986" s="3"/>
      <c r="J986" s="3"/>
      <c r="K986" s="3"/>
      <c r="L986" s="3"/>
      <c r="M986" s="3"/>
      <c r="N986" s="70"/>
      <c r="O986" s="3"/>
      <c r="P986" s="3"/>
      <c r="Q986" s="25"/>
      <c r="R986" s="3"/>
      <c r="S986" s="3"/>
      <c r="T986" s="1"/>
      <c r="U986" s="1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81"/>
      <c r="AN986" s="81"/>
      <c r="AO986" s="81"/>
      <c r="AP986" s="81"/>
      <c r="AQ986" s="81"/>
      <c r="AR986" s="81"/>
      <c r="AS986" s="81"/>
      <c r="AT986" s="81"/>
      <c r="AU986" s="81"/>
      <c r="AV986" s="81"/>
      <c r="AW986" s="81"/>
      <c r="AX986" s="81"/>
      <c r="AY986" s="81"/>
      <c r="AZ986" s="81"/>
      <c r="BA986" s="81"/>
      <c r="BB986" s="81"/>
    </row>
    <row r="987">
      <c r="A987" s="1"/>
      <c r="B987" s="3"/>
      <c r="C987" s="3"/>
      <c r="D987" s="3"/>
      <c r="E987" s="3"/>
      <c r="F987" s="3"/>
      <c r="G987" s="136"/>
      <c r="H987" s="3"/>
      <c r="I987" s="3"/>
      <c r="J987" s="1"/>
      <c r="K987" s="3"/>
      <c r="L987" s="3"/>
      <c r="M987" s="3"/>
      <c r="N987" s="70"/>
      <c r="O987" s="3"/>
      <c r="P987" s="3"/>
      <c r="Q987" s="25"/>
      <c r="R987" s="3"/>
      <c r="S987" s="1"/>
      <c r="T987" s="1"/>
      <c r="U987" s="1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81"/>
      <c r="AN987" s="81"/>
      <c r="AO987" s="81"/>
      <c r="AP987" s="81"/>
      <c r="AQ987" s="81"/>
      <c r="AR987" s="81"/>
      <c r="AS987" s="81"/>
      <c r="AT987" s="81"/>
      <c r="AU987" s="81"/>
      <c r="AV987" s="81"/>
      <c r="AW987" s="81"/>
      <c r="AX987" s="81"/>
      <c r="AY987" s="81"/>
      <c r="AZ987" s="81"/>
      <c r="BA987" s="81"/>
      <c r="BB987" s="81"/>
    </row>
    <row r="988">
      <c r="A988" s="3"/>
      <c r="B988" s="3"/>
      <c r="C988" s="3"/>
      <c r="D988" s="3"/>
      <c r="E988" s="3"/>
      <c r="F988" s="3"/>
      <c r="G988" s="136"/>
      <c r="H988" s="3"/>
      <c r="I988" s="3"/>
      <c r="J988" s="1"/>
      <c r="K988" s="3"/>
      <c r="L988" s="3"/>
      <c r="M988" s="3"/>
      <c r="N988" s="70"/>
      <c r="O988" s="3"/>
      <c r="P988" s="3"/>
      <c r="Q988" s="25"/>
      <c r="R988" s="3"/>
      <c r="S988" s="1"/>
      <c r="T988" s="1"/>
      <c r="U988" s="1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81"/>
      <c r="AN988" s="81"/>
      <c r="AO988" s="81"/>
      <c r="AP988" s="81"/>
      <c r="AQ988" s="81"/>
      <c r="AR988" s="81"/>
      <c r="AS988" s="81"/>
      <c r="AT988" s="81"/>
      <c r="AU988" s="81"/>
      <c r="AV988" s="81"/>
      <c r="AW988" s="81"/>
      <c r="AX988" s="81"/>
      <c r="AY988" s="81"/>
      <c r="AZ988" s="81"/>
      <c r="BA988" s="81"/>
      <c r="BB988" s="81"/>
    </row>
    <row r="989">
      <c r="A989" s="3"/>
      <c r="B989" s="3"/>
      <c r="C989" s="3"/>
      <c r="D989" s="1"/>
      <c r="E989" s="3"/>
      <c r="F989" s="3"/>
      <c r="G989" s="136"/>
      <c r="H989" s="3"/>
      <c r="I989" s="3"/>
      <c r="J989" s="1"/>
      <c r="K989" s="3"/>
      <c r="L989" s="3"/>
      <c r="M989" s="1"/>
      <c r="N989" s="70"/>
      <c r="O989" s="3"/>
      <c r="P989" s="3"/>
      <c r="Q989" s="25"/>
      <c r="R989" s="3"/>
      <c r="S989" s="1"/>
      <c r="T989" s="1"/>
      <c r="U989" s="1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81"/>
      <c r="AN989" s="81"/>
      <c r="AO989" s="81"/>
      <c r="AP989" s="81"/>
      <c r="AQ989" s="81"/>
      <c r="AR989" s="81"/>
      <c r="AS989" s="81"/>
      <c r="AT989" s="81"/>
      <c r="AU989" s="81"/>
      <c r="AV989" s="81"/>
      <c r="AW989" s="81"/>
      <c r="AX989" s="81"/>
      <c r="AY989" s="81"/>
      <c r="AZ989" s="81"/>
      <c r="BA989" s="81"/>
      <c r="BB989" s="81"/>
    </row>
    <row r="990">
      <c r="A990" s="3"/>
      <c r="B990" s="3"/>
      <c r="C990" s="3"/>
      <c r="D990" s="131"/>
      <c r="E990" s="3"/>
      <c r="F990" s="3"/>
      <c r="G990" s="3"/>
      <c r="H990" s="3"/>
      <c r="I990" s="3"/>
      <c r="J990" s="1"/>
      <c r="K990" s="3"/>
      <c r="L990" s="3"/>
      <c r="M990" s="3"/>
      <c r="N990" s="70"/>
      <c r="O990" s="3"/>
      <c r="P990" s="3"/>
      <c r="Q990" s="25"/>
      <c r="R990" s="1"/>
      <c r="S990" s="1"/>
      <c r="T990" s="1"/>
      <c r="U990" s="1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81"/>
      <c r="AN990" s="81"/>
      <c r="AO990" s="81"/>
      <c r="AP990" s="81"/>
      <c r="AQ990" s="81"/>
      <c r="AR990" s="81"/>
      <c r="AS990" s="81"/>
      <c r="AT990" s="81"/>
      <c r="AU990" s="81"/>
      <c r="AV990" s="81"/>
      <c r="AW990" s="81"/>
      <c r="AX990" s="81"/>
      <c r="AY990" s="81"/>
      <c r="AZ990" s="81"/>
      <c r="BA990" s="81"/>
      <c r="BB990" s="81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1"/>
      <c r="K991" s="3"/>
      <c r="L991" s="3"/>
      <c r="M991" s="3"/>
      <c r="N991" s="70"/>
      <c r="O991" s="3"/>
      <c r="P991" s="3"/>
      <c r="Q991" s="25"/>
      <c r="R991" s="3"/>
      <c r="S991" s="1"/>
      <c r="T991" s="1"/>
      <c r="U991" s="1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81"/>
      <c r="AN991" s="81"/>
      <c r="AO991" s="81"/>
      <c r="AP991" s="81"/>
      <c r="AQ991" s="81"/>
      <c r="AR991" s="81"/>
      <c r="AS991" s="81"/>
      <c r="AT991" s="81"/>
      <c r="AU991" s="81"/>
      <c r="AV991" s="81"/>
      <c r="AW991" s="81"/>
      <c r="AX991" s="81"/>
      <c r="AY991" s="81"/>
      <c r="AZ991" s="81"/>
      <c r="BA991" s="81"/>
      <c r="BB991" s="81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1"/>
      <c r="K992" s="3"/>
      <c r="L992" s="3"/>
      <c r="M992" s="3"/>
      <c r="N992" s="70"/>
      <c r="O992" s="3"/>
      <c r="P992" s="3"/>
      <c r="Q992" s="25"/>
      <c r="R992" s="1"/>
      <c r="S992" s="1"/>
      <c r="T992" s="1"/>
      <c r="U992" s="1"/>
      <c r="V992" s="3"/>
      <c r="W992" s="1"/>
      <c r="X992" s="1"/>
      <c r="Y992" s="1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81"/>
      <c r="AN992" s="81"/>
      <c r="AO992" s="81"/>
      <c r="AP992" s="81"/>
      <c r="AQ992" s="81"/>
      <c r="AR992" s="81"/>
      <c r="AS992" s="81"/>
      <c r="AT992" s="81"/>
      <c r="AU992" s="81"/>
      <c r="AV992" s="81"/>
      <c r="AW992" s="81"/>
      <c r="AX992" s="81"/>
      <c r="AY992" s="81"/>
      <c r="AZ992" s="81"/>
      <c r="BA992" s="81"/>
      <c r="BB992" s="81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1"/>
      <c r="K993" s="3"/>
      <c r="L993" s="3"/>
      <c r="M993" s="3"/>
      <c r="N993" s="70"/>
      <c r="O993" s="3"/>
      <c r="P993" s="3"/>
      <c r="Q993" s="25"/>
      <c r="R993" s="3"/>
      <c r="S993" s="1"/>
      <c r="T993" s="1"/>
      <c r="U993" s="1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81"/>
      <c r="AN993" s="81"/>
      <c r="AO993" s="81"/>
      <c r="AP993" s="81"/>
      <c r="AQ993" s="81"/>
      <c r="AR993" s="81"/>
      <c r="AS993" s="81"/>
      <c r="AT993" s="81"/>
      <c r="AU993" s="81"/>
      <c r="AV993" s="81"/>
      <c r="AW993" s="81"/>
      <c r="AX993" s="81"/>
      <c r="AY993" s="81"/>
      <c r="AZ993" s="81"/>
      <c r="BA993" s="81"/>
      <c r="BB993" s="81"/>
    </row>
    <row r="994">
      <c r="A994" s="1"/>
      <c r="B994" s="3"/>
      <c r="C994" s="3"/>
      <c r="D994" s="113"/>
      <c r="E994" s="3"/>
      <c r="F994" s="3"/>
      <c r="G994" s="3"/>
      <c r="H994" s="3"/>
      <c r="I994" s="3"/>
      <c r="J994" s="1"/>
      <c r="K994" s="3"/>
      <c r="L994" s="3"/>
      <c r="M994" s="3"/>
      <c r="N994" s="70"/>
      <c r="O994" s="3"/>
      <c r="P994" s="3"/>
      <c r="Q994" s="25"/>
      <c r="R994" s="1"/>
      <c r="S994" s="1"/>
      <c r="T994" s="1"/>
      <c r="U994" s="1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81"/>
      <c r="AN994" s="81"/>
      <c r="AO994" s="81"/>
      <c r="AP994" s="81"/>
      <c r="AQ994" s="81"/>
      <c r="AR994" s="81"/>
      <c r="AS994" s="81"/>
      <c r="AT994" s="81"/>
      <c r="AU994" s="81"/>
      <c r="AV994" s="81"/>
      <c r="AW994" s="81"/>
      <c r="AX994" s="81"/>
      <c r="AY994" s="81"/>
      <c r="AZ994" s="81"/>
      <c r="BA994" s="81"/>
      <c r="BB994" s="81"/>
    </row>
    <row r="995">
      <c r="A995" s="1"/>
      <c r="B995" s="3"/>
      <c r="C995" s="3"/>
      <c r="D995" s="113"/>
      <c r="E995" s="3"/>
      <c r="F995" s="3"/>
      <c r="G995" s="3"/>
      <c r="H995" s="3"/>
      <c r="I995" s="3"/>
      <c r="J995" s="1"/>
      <c r="K995" s="3"/>
      <c r="L995" s="3"/>
      <c r="M995" s="3"/>
      <c r="N995" s="70"/>
      <c r="O995" s="3"/>
      <c r="P995" s="3"/>
      <c r="Q995" s="25"/>
      <c r="R995" s="3"/>
      <c r="S995" s="1"/>
      <c r="T995" s="1"/>
      <c r="U995" s="1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81"/>
      <c r="AN995" s="81"/>
      <c r="AO995" s="81"/>
      <c r="AP995" s="81"/>
      <c r="AQ995" s="81"/>
      <c r="AR995" s="81"/>
      <c r="AS995" s="81"/>
      <c r="AT995" s="81"/>
      <c r="AU995" s="81"/>
      <c r="AV995" s="81"/>
      <c r="AW995" s="81"/>
      <c r="AX995" s="81"/>
      <c r="AY995" s="81"/>
      <c r="AZ995" s="81"/>
      <c r="BA995" s="81"/>
      <c r="BB995" s="81"/>
    </row>
    <row r="996">
      <c r="A996" s="3"/>
      <c r="B996" s="3"/>
      <c r="C996" s="3"/>
      <c r="D996" s="3"/>
      <c r="E996" s="3"/>
      <c r="F996" s="3"/>
      <c r="G996" s="3"/>
      <c r="H996" s="3"/>
      <c r="I996" s="1"/>
      <c r="J996" s="1"/>
      <c r="K996" s="3"/>
      <c r="L996" s="3"/>
      <c r="M996" s="3"/>
      <c r="N996" s="70"/>
      <c r="O996" s="3"/>
      <c r="P996" s="3"/>
      <c r="Q996" s="25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1"/>
      <c r="AH996" s="3"/>
      <c r="AI996" s="1"/>
      <c r="AJ996" s="3"/>
      <c r="AK996" s="1"/>
      <c r="AL996" s="3"/>
      <c r="AM996" s="81"/>
      <c r="AN996" s="81"/>
      <c r="AO996" s="81"/>
      <c r="AP996" s="81"/>
      <c r="AQ996" s="81"/>
      <c r="AR996" s="81"/>
      <c r="AS996" s="81"/>
      <c r="AT996" s="81"/>
      <c r="AU996" s="81"/>
      <c r="AV996" s="81"/>
      <c r="AW996" s="81"/>
      <c r="AX996" s="81"/>
      <c r="AY996" s="81"/>
      <c r="AZ996" s="81"/>
      <c r="BA996" s="81"/>
      <c r="BB996" s="81"/>
    </row>
    <row r="997">
      <c r="A997" s="3"/>
      <c r="B997" s="3"/>
      <c r="C997" s="3"/>
      <c r="D997" s="146"/>
      <c r="E997" s="3"/>
      <c r="F997" s="3"/>
      <c r="G997" s="3"/>
      <c r="H997" s="3"/>
      <c r="I997" s="3"/>
      <c r="J997" s="3"/>
      <c r="K997" s="3"/>
      <c r="L997" s="3"/>
      <c r="M997" s="3"/>
      <c r="N997" s="70"/>
      <c r="O997" s="3"/>
      <c r="P997" s="3"/>
      <c r="Q997" s="25"/>
      <c r="R997" s="3"/>
      <c r="S997" s="1"/>
      <c r="T997" s="3"/>
      <c r="U997" s="1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81"/>
      <c r="AN997" s="81"/>
      <c r="AO997" s="81"/>
      <c r="AP997" s="81"/>
      <c r="AQ997" s="81"/>
      <c r="AR997" s="81"/>
      <c r="AS997" s="81"/>
      <c r="AT997" s="81"/>
      <c r="AU997" s="81"/>
      <c r="AV997" s="81"/>
      <c r="AW997" s="81"/>
      <c r="AX997" s="81"/>
      <c r="AY997" s="81"/>
      <c r="AZ997" s="81"/>
      <c r="BA997" s="81"/>
      <c r="BB997" s="81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1"/>
      <c r="K998" s="3"/>
      <c r="L998" s="3"/>
      <c r="M998" s="3"/>
      <c r="N998" s="70"/>
      <c r="O998" s="3"/>
      <c r="P998" s="3"/>
      <c r="Q998" s="25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1"/>
      <c r="AH998" s="3"/>
      <c r="AI998" s="1"/>
      <c r="AJ998" s="3"/>
      <c r="AK998" s="1"/>
      <c r="AL998" s="3"/>
      <c r="AM998" s="81"/>
      <c r="AN998" s="81"/>
      <c r="AO998" s="81"/>
      <c r="AP998" s="81"/>
      <c r="AQ998" s="81"/>
      <c r="AR998" s="81"/>
      <c r="AS998" s="81"/>
      <c r="AT998" s="81"/>
      <c r="AU998" s="81"/>
      <c r="AV998" s="81"/>
      <c r="AW998" s="81"/>
      <c r="AX998" s="81"/>
      <c r="AY998" s="81"/>
      <c r="AZ998" s="81"/>
      <c r="BA998" s="81"/>
      <c r="BB998" s="81"/>
    </row>
    <row r="999">
      <c r="A999" s="3"/>
      <c r="B999" s="3"/>
      <c r="C999" s="3"/>
      <c r="D999" s="149"/>
      <c r="E999" s="3"/>
      <c r="F999" s="3"/>
      <c r="G999" s="3"/>
      <c r="H999" s="3"/>
      <c r="I999" s="3"/>
      <c r="J999" s="1"/>
      <c r="K999" s="3"/>
      <c r="L999" s="3"/>
      <c r="M999" s="3"/>
      <c r="N999" s="70"/>
      <c r="O999" s="3"/>
      <c r="P999" s="3"/>
      <c r="Q999" s="25"/>
      <c r="R999" s="3"/>
      <c r="S999" s="3"/>
      <c r="T999" s="1"/>
      <c r="U999" s="1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81"/>
      <c r="AN999" s="81"/>
      <c r="AO999" s="81"/>
      <c r="AP999" s="81"/>
      <c r="AQ999" s="81"/>
      <c r="AR999" s="81"/>
      <c r="AS999" s="81"/>
      <c r="AT999" s="81"/>
      <c r="AU999" s="81"/>
      <c r="AV999" s="81"/>
      <c r="AW999" s="81"/>
      <c r="AX999" s="81"/>
      <c r="AY999" s="81"/>
      <c r="AZ999" s="81"/>
      <c r="BA999" s="81"/>
      <c r="BB999" s="81"/>
    </row>
    <row r="1000">
      <c r="A1000" s="3"/>
      <c r="B1000" s="3"/>
      <c r="C1000" s="3"/>
      <c r="D1000" s="3"/>
      <c r="E1000" s="3"/>
      <c r="F1000" s="3"/>
      <c r="G1000" s="136"/>
      <c r="H1000" s="3"/>
      <c r="I1000" s="3"/>
      <c r="J1000" s="1"/>
      <c r="K1000" s="173"/>
      <c r="L1000" s="3"/>
      <c r="M1000" s="3"/>
      <c r="N1000" s="70"/>
      <c r="O1000" s="3"/>
      <c r="P1000" s="3"/>
      <c r="Q1000" s="25"/>
      <c r="R1000" s="3"/>
      <c r="S1000" s="1"/>
      <c r="T1000" s="1"/>
      <c r="U1000" s="1"/>
      <c r="V1000" s="3"/>
      <c r="W1000" s="1"/>
      <c r="X1000" s="1"/>
      <c r="Y1000" s="1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107"/>
      <c r="AN1000" s="81"/>
      <c r="AO1000" s="81"/>
      <c r="AP1000" s="81"/>
      <c r="AQ1000" s="81"/>
      <c r="AR1000" s="81"/>
      <c r="AS1000" s="81"/>
      <c r="AT1000" s="81"/>
      <c r="AU1000" s="81"/>
      <c r="AV1000" s="81"/>
      <c r="AW1000" s="81"/>
      <c r="AX1000" s="81"/>
      <c r="AY1000" s="81"/>
      <c r="AZ1000" s="81"/>
      <c r="BA1000" s="81"/>
      <c r="BB1000" s="81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1"/>
      <c r="K1001" s="3"/>
      <c r="L1001" s="3"/>
      <c r="M1001" s="3"/>
      <c r="N1001" s="70"/>
      <c r="O1001" s="3"/>
      <c r="P1001" s="3"/>
      <c r="Q1001" s="25"/>
      <c r="R1001" s="3"/>
      <c r="S1001" s="1"/>
      <c r="T1001" s="1"/>
      <c r="U1001" s="1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81"/>
      <c r="AN1001" s="81"/>
      <c r="AO1001" s="81"/>
      <c r="AP1001" s="81"/>
      <c r="AQ1001" s="81"/>
      <c r="AR1001" s="81"/>
      <c r="AS1001" s="81"/>
      <c r="AT1001" s="81"/>
      <c r="AU1001" s="81"/>
      <c r="AV1001" s="81"/>
      <c r="AW1001" s="81"/>
      <c r="AX1001" s="81"/>
      <c r="AY1001" s="81"/>
      <c r="AZ1001" s="81"/>
      <c r="BA1001" s="81"/>
      <c r="BB1001" s="81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70"/>
      <c r="O1002" s="3"/>
      <c r="P1002" s="3"/>
      <c r="Q1002" s="25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81"/>
      <c r="AN1002" s="81"/>
      <c r="AO1002" s="81"/>
      <c r="AP1002" s="81"/>
      <c r="AQ1002" s="81"/>
      <c r="AR1002" s="81"/>
      <c r="AS1002" s="81"/>
      <c r="AT1002" s="81"/>
      <c r="AU1002" s="81"/>
      <c r="AV1002" s="81"/>
      <c r="AW1002" s="81"/>
      <c r="AX1002" s="81"/>
      <c r="AY1002" s="81"/>
      <c r="AZ1002" s="81"/>
      <c r="BA1002" s="81"/>
      <c r="BB1002" s="81"/>
    </row>
    <row r="1003">
      <c r="A1003" s="3"/>
      <c r="B1003" s="3"/>
      <c r="C1003" s="3"/>
      <c r="D1003" s="1"/>
      <c r="E1003" s="70"/>
      <c r="F1003" s="3"/>
      <c r="G1003" s="3"/>
      <c r="H1003" s="3"/>
      <c r="I1003" s="3"/>
      <c r="J1003" s="3"/>
      <c r="K1003" s="3"/>
      <c r="L1003" s="3"/>
      <c r="M1003" s="3"/>
      <c r="N1003" s="70"/>
      <c r="O1003" s="3"/>
      <c r="P1003" s="3"/>
      <c r="Q1003" s="25"/>
      <c r="R1003" s="3"/>
      <c r="S1003" s="1"/>
      <c r="T1003" s="1"/>
      <c r="U1003" s="1"/>
      <c r="V1003" s="1"/>
      <c r="W1003" s="3"/>
      <c r="X1003" s="1"/>
      <c r="Y1003" s="1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81"/>
      <c r="AN1003" s="81"/>
      <c r="AO1003" s="81"/>
      <c r="AP1003" s="81"/>
      <c r="AQ1003" s="81"/>
      <c r="AR1003" s="81"/>
      <c r="AS1003" s="81"/>
      <c r="AT1003" s="81"/>
      <c r="AU1003" s="81"/>
      <c r="AV1003" s="81"/>
      <c r="AW1003" s="81"/>
      <c r="AX1003" s="81"/>
      <c r="AY1003" s="81"/>
      <c r="AZ1003" s="81"/>
      <c r="BA1003" s="81"/>
      <c r="BB1003" s="81"/>
    </row>
    <row r="1004">
      <c r="A1004" s="1"/>
      <c r="B1004" s="3"/>
      <c r="C1004" s="3"/>
      <c r="D1004" s="131"/>
      <c r="E1004" s="3"/>
      <c r="F1004" s="3"/>
      <c r="G1004" s="3"/>
      <c r="H1004" s="3"/>
      <c r="I1004" s="3"/>
      <c r="J1004" s="1"/>
      <c r="K1004" s="3"/>
      <c r="L1004" s="3"/>
      <c r="M1004" s="3"/>
      <c r="N1004" s="105"/>
      <c r="O1004" s="1"/>
      <c r="P1004" s="3"/>
      <c r="Q1004" s="25"/>
      <c r="R1004" s="1"/>
      <c r="S1004" s="1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81"/>
      <c r="AN1004" s="81"/>
      <c r="AO1004" s="81"/>
      <c r="AP1004" s="81"/>
      <c r="AQ1004" s="81"/>
      <c r="AR1004" s="81"/>
      <c r="AS1004" s="81"/>
      <c r="AT1004" s="81"/>
      <c r="AU1004" s="81"/>
      <c r="AV1004" s="81"/>
      <c r="AW1004" s="81"/>
      <c r="AX1004" s="81"/>
      <c r="AY1004" s="81"/>
      <c r="AZ1004" s="81"/>
      <c r="BA1004" s="81"/>
      <c r="BB1004" s="81"/>
    </row>
    <row r="1005">
      <c r="A1005" s="3"/>
      <c r="B1005" s="3"/>
      <c r="C1005" s="3"/>
      <c r="D1005" s="149"/>
      <c r="E1005" s="3"/>
      <c r="F1005" s="3"/>
      <c r="G1005" s="3"/>
      <c r="H1005" s="3"/>
      <c r="I1005" s="3"/>
      <c r="J1005" s="1"/>
      <c r="K1005" s="3"/>
      <c r="L1005" s="3"/>
      <c r="M1005" s="3"/>
      <c r="N1005" s="70"/>
      <c r="O1005" s="3"/>
      <c r="P1005" s="3"/>
      <c r="Q1005" s="25"/>
      <c r="R1005" s="1"/>
      <c r="S1005" s="1"/>
      <c r="T1005" s="1"/>
      <c r="U1005" s="1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81"/>
      <c r="AN1005" s="81"/>
      <c r="AO1005" s="81"/>
      <c r="AP1005" s="81"/>
      <c r="AQ1005" s="81"/>
      <c r="AR1005" s="81"/>
      <c r="AS1005" s="81"/>
      <c r="AT1005" s="81"/>
      <c r="AU1005" s="81"/>
      <c r="AV1005" s="81"/>
      <c r="AW1005" s="81"/>
      <c r="AX1005" s="81"/>
      <c r="AY1005" s="81"/>
      <c r="AZ1005" s="81"/>
      <c r="BA1005" s="81"/>
      <c r="BB1005" s="81"/>
    </row>
    <row r="1006">
      <c r="A1006" s="3"/>
      <c r="B1006" s="3"/>
      <c r="C1006" s="3"/>
      <c r="D1006" s="3"/>
      <c r="E1006" s="3"/>
      <c r="F1006" s="3"/>
      <c r="G1006" s="3"/>
      <c r="H1006" s="3"/>
      <c r="I1006" s="1"/>
      <c r="J1006" s="1"/>
      <c r="K1006" s="3"/>
      <c r="L1006" s="3"/>
      <c r="M1006" s="3"/>
      <c r="N1006" s="70"/>
      <c r="O1006" s="3"/>
      <c r="P1006" s="3"/>
      <c r="Q1006" s="25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1"/>
      <c r="AH1006" s="3"/>
      <c r="AI1006" s="1"/>
      <c r="AJ1006" s="3"/>
      <c r="AK1006" s="1"/>
      <c r="AL1006" s="3"/>
      <c r="AM1006" s="81"/>
      <c r="AN1006" s="81"/>
      <c r="AO1006" s="81"/>
      <c r="AP1006" s="81"/>
      <c r="AQ1006" s="81"/>
      <c r="AR1006" s="81"/>
      <c r="AS1006" s="81"/>
      <c r="AT1006" s="81"/>
      <c r="AU1006" s="81"/>
      <c r="AV1006" s="81"/>
      <c r="AW1006" s="81"/>
      <c r="AX1006" s="81"/>
      <c r="AY1006" s="81"/>
      <c r="AZ1006" s="81"/>
      <c r="BA1006" s="81"/>
      <c r="BB1006" s="81"/>
    </row>
    <row r="1007">
      <c r="A1007" s="3"/>
      <c r="B1007" s="3"/>
      <c r="C1007" s="3"/>
      <c r="D1007" s="130"/>
      <c r="E1007" s="170"/>
      <c r="F1007" s="3"/>
      <c r="G1007" s="3"/>
      <c r="H1007" s="3"/>
      <c r="I1007" s="3"/>
      <c r="J1007" s="1"/>
      <c r="K1007" s="3"/>
      <c r="L1007" s="3"/>
      <c r="M1007" s="3"/>
      <c r="N1007" s="105"/>
      <c r="O1007" s="1"/>
      <c r="P1007" s="3"/>
      <c r="Q1007" s="25"/>
      <c r="R1007" s="1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107"/>
      <c r="AN1007" s="81"/>
      <c r="AO1007" s="81"/>
      <c r="AP1007" s="81"/>
      <c r="AQ1007" s="81"/>
      <c r="AR1007" s="81"/>
      <c r="AS1007" s="81"/>
      <c r="AT1007" s="81"/>
      <c r="AU1007" s="81"/>
      <c r="AV1007" s="81"/>
      <c r="AW1007" s="81"/>
      <c r="AX1007" s="81"/>
      <c r="AY1007" s="81"/>
      <c r="AZ1007" s="81"/>
      <c r="BA1007" s="81"/>
      <c r="BB1007" s="81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1"/>
      <c r="K1008" s="3"/>
      <c r="L1008" s="3"/>
      <c r="M1008" s="3"/>
      <c r="N1008" s="70"/>
      <c r="O1008" s="3"/>
      <c r="P1008" s="3"/>
      <c r="Q1008" s="25"/>
      <c r="R1008" s="3"/>
      <c r="S1008" s="1"/>
      <c r="T1008" s="1"/>
      <c r="U1008" s="1"/>
      <c r="V1008" s="3"/>
      <c r="W1008" s="3"/>
      <c r="X1008" s="1"/>
      <c r="Y1008" s="1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81"/>
      <c r="AN1008" s="81"/>
      <c r="AO1008" s="81"/>
      <c r="AP1008" s="81"/>
      <c r="AQ1008" s="81"/>
      <c r="AR1008" s="81"/>
      <c r="AS1008" s="81"/>
      <c r="AT1008" s="81"/>
      <c r="AU1008" s="81"/>
      <c r="AV1008" s="81"/>
      <c r="AW1008" s="81"/>
      <c r="AX1008" s="81"/>
      <c r="AY1008" s="81"/>
      <c r="AZ1008" s="81"/>
      <c r="BA1008" s="81"/>
      <c r="BB1008" s="81"/>
    </row>
    <row r="1009">
      <c r="A1009" s="3"/>
      <c r="B1009" s="3"/>
      <c r="C1009" s="3"/>
      <c r="D1009" s="149"/>
      <c r="E1009" s="3"/>
      <c r="F1009" s="3"/>
      <c r="G1009" s="3"/>
      <c r="H1009" s="3"/>
      <c r="I1009" s="3"/>
      <c r="J1009" s="3"/>
      <c r="K1009" s="3"/>
      <c r="L1009" s="3"/>
      <c r="M1009" s="3"/>
      <c r="N1009" s="70"/>
      <c r="O1009" s="3"/>
      <c r="P1009" s="3"/>
      <c r="Q1009" s="25"/>
      <c r="R1009" s="3"/>
      <c r="S1009" s="1"/>
      <c r="T1009" s="1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81"/>
      <c r="AN1009" s="81"/>
      <c r="AO1009" s="81"/>
      <c r="AP1009" s="81"/>
      <c r="AQ1009" s="81"/>
      <c r="AR1009" s="81"/>
      <c r="AS1009" s="81"/>
      <c r="AT1009" s="81"/>
      <c r="AU1009" s="81"/>
      <c r="AV1009" s="81"/>
      <c r="AW1009" s="81"/>
      <c r="AX1009" s="81"/>
      <c r="AY1009" s="81"/>
      <c r="AZ1009" s="81"/>
      <c r="BA1009" s="81"/>
      <c r="BB1009" s="81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1"/>
      <c r="K1010" s="3"/>
      <c r="L1010" s="3"/>
      <c r="M1010" s="3"/>
      <c r="N1010" s="70"/>
      <c r="O1010" s="3"/>
      <c r="P1010" s="3"/>
      <c r="Q1010" s="25"/>
      <c r="R1010" s="3"/>
      <c r="S1010" s="3"/>
      <c r="T1010" s="1"/>
      <c r="U1010" s="1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81"/>
      <c r="AN1010" s="81"/>
      <c r="AO1010" s="81"/>
      <c r="AP1010" s="81"/>
      <c r="AQ1010" s="81"/>
      <c r="AR1010" s="81"/>
      <c r="AS1010" s="81"/>
      <c r="AT1010" s="81"/>
      <c r="AU1010" s="81"/>
      <c r="AV1010" s="81"/>
      <c r="AW1010" s="81"/>
      <c r="AX1010" s="81"/>
      <c r="AY1010" s="81"/>
      <c r="AZ1010" s="81"/>
      <c r="BA1010" s="81"/>
      <c r="BB1010" s="81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70"/>
      <c r="O1011" s="3"/>
      <c r="P1011" s="3"/>
      <c r="Q1011" s="142"/>
      <c r="R1011" s="1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1"/>
      <c r="AH1011" s="3"/>
      <c r="AI1011" s="1"/>
      <c r="AJ1011" s="3"/>
      <c r="AK1011" s="1"/>
      <c r="AL1011" s="3"/>
      <c r="AM1011" s="81"/>
      <c r="AN1011" s="81"/>
      <c r="AO1011" s="81"/>
      <c r="AP1011" s="81"/>
      <c r="AQ1011" s="81"/>
      <c r="AR1011" s="81"/>
      <c r="AS1011" s="81"/>
      <c r="AT1011" s="81"/>
      <c r="AU1011" s="81"/>
      <c r="AV1011" s="81"/>
      <c r="AW1011" s="81"/>
      <c r="AX1011" s="81"/>
      <c r="AY1011" s="81"/>
      <c r="AZ1011" s="81"/>
      <c r="BA1011" s="81"/>
      <c r="BB1011" s="81"/>
    </row>
    <row r="1012">
      <c r="A1012" s="1"/>
      <c r="B1012" s="3"/>
      <c r="C1012" s="3"/>
      <c r="D1012" s="3"/>
      <c r="E1012" s="3"/>
      <c r="F1012" s="3"/>
      <c r="G1012" s="3"/>
      <c r="H1012" s="3"/>
      <c r="I1012" s="3"/>
      <c r="J1012" s="1"/>
      <c r="K1012" s="3"/>
      <c r="L1012" s="3"/>
      <c r="M1012" s="3"/>
      <c r="N1012" s="70"/>
      <c r="O1012" s="3"/>
      <c r="P1012" s="3"/>
      <c r="Q1012" s="25"/>
      <c r="R1012" s="1"/>
      <c r="S1012" s="1"/>
      <c r="T1012" s="1"/>
      <c r="U1012" s="1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107"/>
      <c r="AN1012" s="81"/>
      <c r="AO1012" s="81"/>
      <c r="AP1012" s="81"/>
      <c r="AQ1012" s="81"/>
      <c r="AR1012" s="81"/>
      <c r="AS1012" s="81"/>
      <c r="AT1012" s="81"/>
      <c r="AU1012" s="81"/>
      <c r="AV1012" s="81"/>
      <c r="AW1012" s="81"/>
      <c r="AX1012" s="81"/>
      <c r="AY1012" s="81"/>
      <c r="AZ1012" s="81"/>
      <c r="BA1012" s="81"/>
      <c r="BB1012" s="81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1"/>
      <c r="K1013" s="3"/>
      <c r="L1013" s="3"/>
      <c r="M1013" s="3"/>
      <c r="N1013" s="70"/>
      <c r="O1013" s="3"/>
      <c r="P1013" s="3"/>
      <c r="Q1013" s="25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1"/>
      <c r="AH1013" s="3"/>
      <c r="AI1013" s="1"/>
      <c r="AJ1013" s="3"/>
      <c r="AK1013" s="1"/>
      <c r="AL1013" s="3"/>
      <c r="AM1013" s="81"/>
      <c r="AN1013" s="81"/>
      <c r="AO1013" s="81"/>
      <c r="AP1013" s="81"/>
      <c r="AQ1013" s="81"/>
      <c r="AR1013" s="81"/>
      <c r="AS1013" s="81"/>
      <c r="AT1013" s="81"/>
      <c r="AU1013" s="81"/>
      <c r="AV1013" s="81"/>
      <c r="AW1013" s="81"/>
      <c r="AX1013" s="81"/>
      <c r="AY1013" s="81"/>
      <c r="AZ1013" s="81"/>
      <c r="BA1013" s="81"/>
      <c r="BB1013" s="81"/>
    </row>
    <row r="1014">
      <c r="A1014" s="3"/>
      <c r="B1014" s="3"/>
      <c r="C1014" s="3"/>
      <c r="D1014" s="1"/>
      <c r="E1014" s="3"/>
      <c r="F1014" s="3"/>
      <c r="G1014" s="3"/>
      <c r="H1014" s="3"/>
      <c r="I1014" s="3"/>
      <c r="J1014" s="3"/>
      <c r="K1014" s="3"/>
      <c r="L1014" s="3"/>
      <c r="M1014" s="3"/>
      <c r="N1014" s="70"/>
      <c r="O1014" s="3"/>
      <c r="P1014" s="3"/>
      <c r="Q1014" s="25"/>
      <c r="R1014" s="3"/>
      <c r="S1014" s="1"/>
      <c r="T1014" s="1"/>
      <c r="U1014" s="1"/>
      <c r="V1014" s="3"/>
      <c r="W1014" s="1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81"/>
      <c r="AN1014" s="81"/>
      <c r="AO1014" s="81"/>
      <c r="AP1014" s="81"/>
      <c r="AQ1014" s="81"/>
      <c r="AR1014" s="81"/>
      <c r="AS1014" s="81"/>
      <c r="AT1014" s="81"/>
      <c r="AU1014" s="81"/>
      <c r="AV1014" s="81"/>
      <c r="AW1014" s="81"/>
      <c r="AX1014" s="81"/>
      <c r="AY1014" s="81"/>
      <c r="AZ1014" s="81"/>
      <c r="BA1014" s="81"/>
      <c r="BB1014" s="81"/>
    </row>
    <row r="1015">
      <c r="A1015" s="3"/>
      <c r="B1015" s="3"/>
      <c r="C1015" s="1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70"/>
      <c r="O1015" s="3"/>
      <c r="P1015" s="3"/>
      <c r="Q1015" s="25"/>
      <c r="R1015" s="3"/>
      <c r="S1015" s="1"/>
      <c r="T1015" s="1"/>
      <c r="U1015" s="1"/>
      <c r="V1015" s="3"/>
      <c r="W1015" s="3"/>
      <c r="X1015" s="1"/>
      <c r="Y1015" s="1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81"/>
      <c r="AN1015" s="81"/>
      <c r="AO1015" s="81"/>
      <c r="AP1015" s="81"/>
      <c r="AQ1015" s="81"/>
      <c r="AR1015" s="81"/>
      <c r="AS1015" s="81"/>
      <c r="AT1015" s="81"/>
      <c r="AU1015" s="81"/>
      <c r="AV1015" s="81"/>
      <c r="AW1015" s="81"/>
      <c r="AX1015" s="81"/>
      <c r="AY1015" s="81"/>
      <c r="AZ1015" s="81"/>
      <c r="BA1015" s="81"/>
      <c r="BB1015" s="81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70"/>
      <c r="O1016" s="3"/>
      <c r="P1016" s="3"/>
      <c r="Q1016" s="25"/>
      <c r="R1016" s="3"/>
      <c r="S1016" s="1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81"/>
      <c r="AN1016" s="81"/>
      <c r="AO1016" s="81"/>
      <c r="AP1016" s="81"/>
      <c r="AQ1016" s="81"/>
      <c r="AR1016" s="81"/>
      <c r="AS1016" s="81"/>
      <c r="AT1016" s="81"/>
      <c r="AU1016" s="81"/>
      <c r="AV1016" s="81"/>
      <c r="AW1016" s="81"/>
      <c r="AX1016" s="81"/>
      <c r="AY1016" s="81"/>
      <c r="AZ1016" s="81"/>
      <c r="BA1016" s="81"/>
      <c r="BB1016" s="81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70"/>
      <c r="O1017" s="3"/>
      <c r="P1017" s="3"/>
      <c r="Q1017" s="25"/>
      <c r="R1017" s="3"/>
      <c r="S1017" s="1"/>
      <c r="T1017" s="1"/>
      <c r="U1017" s="1"/>
      <c r="V1017" s="3"/>
      <c r="W1017" s="3"/>
      <c r="X1017" s="1"/>
      <c r="Y1017" s="1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81"/>
      <c r="AN1017" s="81"/>
      <c r="AO1017" s="81"/>
      <c r="AP1017" s="81"/>
      <c r="AQ1017" s="81"/>
      <c r="AR1017" s="81"/>
      <c r="AS1017" s="81"/>
      <c r="AT1017" s="81"/>
      <c r="AU1017" s="81"/>
      <c r="AV1017" s="81"/>
      <c r="AW1017" s="81"/>
      <c r="AX1017" s="81"/>
      <c r="AY1017" s="81"/>
      <c r="AZ1017" s="81"/>
      <c r="BA1017" s="81"/>
      <c r="BB1017" s="81"/>
    </row>
    <row r="1018">
      <c r="A1018" s="3"/>
      <c r="B1018" s="3"/>
      <c r="C1018" s="3"/>
      <c r="D1018" s="144"/>
      <c r="E1018" s="3"/>
      <c r="F1018" s="3"/>
      <c r="G1018" s="3"/>
      <c r="H1018" s="3"/>
      <c r="I1018" s="3"/>
      <c r="J1018" s="3"/>
      <c r="K1018" s="3"/>
      <c r="L1018" s="3"/>
      <c r="M1018" s="3"/>
      <c r="N1018" s="70"/>
      <c r="O1018" s="3"/>
      <c r="P1018" s="3"/>
      <c r="Q1018" s="25"/>
      <c r="R1018" s="3"/>
      <c r="S1018" s="1"/>
      <c r="T1018" s="1"/>
      <c r="U1018" s="1"/>
      <c r="V1018" s="3"/>
      <c r="W1018" s="3"/>
      <c r="X1018" s="1"/>
      <c r="Y1018" s="1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81"/>
      <c r="AN1018" s="81"/>
      <c r="AO1018" s="81"/>
      <c r="AP1018" s="81"/>
      <c r="AQ1018" s="81"/>
      <c r="AR1018" s="81"/>
      <c r="AS1018" s="81"/>
      <c r="AT1018" s="81"/>
      <c r="AU1018" s="81"/>
      <c r="AV1018" s="81"/>
      <c r="AW1018" s="81"/>
      <c r="AX1018" s="81"/>
      <c r="AY1018" s="81"/>
      <c r="AZ1018" s="81"/>
      <c r="BA1018" s="81"/>
      <c r="BB1018" s="81"/>
    </row>
    <row r="1019">
      <c r="A1019" s="3"/>
      <c r="B1019" s="3"/>
      <c r="C1019" s="3"/>
      <c r="D1019" s="131"/>
      <c r="E1019" s="3"/>
      <c r="F1019" s="1"/>
      <c r="G1019" s="3"/>
      <c r="H1019" s="3"/>
      <c r="I1019" s="3"/>
      <c r="J1019" s="3"/>
      <c r="K1019" s="3"/>
      <c r="L1019" s="3"/>
      <c r="M1019" s="3"/>
      <c r="N1019" s="105"/>
      <c r="O1019" s="1"/>
      <c r="P1019" s="3"/>
      <c r="Q1019" s="25"/>
      <c r="R1019" s="3"/>
      <c r="S1019" s="1"/>
      <c r="T1019" s="1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81"/>
      <c r="AN1019" s="81"/>
      <c r="AO1019" s="81"/>
      <c r="AP1019" s="81"/>
      <c r="AQ1019" s="81"/>
      <c r="AR1019" s="81"/>
      <c r="AS1019" s="81"/>
      <c r="AT1019" s="81"/>
      <c r="AU1019" s="81"/>
      <c r="AV1019" s="81"/>
      <c r="AW1019" s="81"/>
      <c r="AX1019" s="81"/>
      <c r="AY1019" s="81"/>
      <c r="AZ1019" s="81"/>
      <c r="BA1019" s="81"/>
      <c r="BB1019" s="81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70"/>
      <c r="O1020" s="3"/>
      <c r="P1020" s="3"/>
      <c r="Q1020" s="25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81"/>
      <c r="AN1020" s="81"/>
      <c r="AO1020" s="81"/>
      <c r="AP1020" s="81"/>
      <c r="AQ1020" s="81"/>
      <c r="AR1020" s="81"/>
      <c r="AS1020" s="81"/>
      <c r="AT1020" s="81"/>
      <c r="AU1020" s="81"/>
      <c r="AV1020" s="81"/>
      <c r="AW1020" s="81"/>
      <c r="AX1020" s="81"/>
      <c r="AY1020" s="81"/>
      <c r="AZ1020" s="81"/>
      <c r="BA1020" s="81"/>
      <c r="BB1020" s="81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70"/>
      <c r="O1021" s="1"/>
      <c r="P1021" s="3"/>
      <c r="Q1021" s="25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81"/>
      <c r="AN1021" s="81"/>
      <c r="AO1021" s="81"/>
      <c r="AP1021" s="81"/>
      <c r="AQ1021" s="81"/>
      <c r="AR1021" s="81"/>
      <c r="AS1021" s="81"/>
      <c r="AT1021" s="81"/>
      <c r="AU1021" s="81"/>
      <c r="AV1021" s="81"/>
      <c r="AW1021" s="81"/>
      <c r="AX1021" s="81"/>
      <c r="AY1021" s="81"/>
      <c r="AZ1021" s="81"/>
      <c r="BA1021" s="81"/>
      <c r="BB1021" s="81"/>
    </row>
    <row r="1022">
      <c r="A1022" s="3"/>
      <c r="B1022" s="3"/>
      <c r="C1022" s="3"/>
      <c r="D1022" s="3"/>
      <c r="E1022" s="3"/>
      <c r="F1022" s="3"/>
      <c r="G1022" s="3"/>
      <c r="H1022" s="3"/>
      <c r="I1022" s="1"/>
      <c r="J1022" s="3"/>
      <c r="K1022" s="3"/>
      <c r="L1022" s="3"/>
      <c r="M1022" s="3"/>
      <c r="N1022" s="105"/>
      <c r="O1022" s="3"/>
      <c r="P1022" s="3"/>
      <c r="Q1022" s="25"/>
      <c r="R1022" s="3"/>
      <c r="S1022" s="1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81"/>
      <c r="AN1022" s="81"/>
      <c r="AO1022" s="81"/>
      <c r="AP1022" s="81"/>
      <c r="AQ1022" s="81"/>
      <c r="AR1022" s="81"/>
      <c r="AS1022" s="81"/>
      <c r="AT1022" s="81"/>
      <c r="AU1022" s="81"/>
      <c r="AV1022" s="81"/>
      <c r="AW1022" s="81"/>
      <c r="AX1022" s="81"/>
      <c r="AY1022" s="81"/>
      <c r="AZ1022" s="81"/>
      <c r="BA1022" s="81"/>
      <c r="BB1022" s="81"/>
    </row>
    <row r="1023">
      <c r="A1023" s="3"/>
      <c r="B1023" s="3"/>
      <c r="C1023" s="115"/>
      <c r="D1023" s="149"/>
      <c r="E1023" s="3"/>
      <c r="F1023" s="3"/>
      <c r="G1023" s="3"/>
      <c r="H1023" s="3"/>
      <c r="I1023" s="115"/>
      <c r="J1023" s="3"/>
      <c r="K1023" s="3"/>
      <c r="L1023" s="3"/>
      <c r="M1023" s="3"/>
      <c r="N1023" s="70"/>
      <c r="O1023" s="3"/>
      <c r="P1023" s="3"/>
      <c r="Q1023" s="25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81"/>
      <c r="AN1023" s="81"/>
      <c r="AO1023" s="81"/>
      <c r="AP1023" s="81"/>
      <c r="AQ1023" s="81"/>
      <c r="AR1023" s="81"/>
      <c r="AS1023" s="81"/>
      <c r="AT1023" s="81"/>
      <c r="AU1023" s="81"/>
      <c r="AV1023" s="81"/>
      <c r="AW1023" s="81"/>
      <c r="AX1023" s="81"/>
      <c r="AY1023" s="81"/>
      <c r="AZ1023" s="81"/>
      <c r="BA1023" s="81"/>
      <c r="BB1023" s="81"/>
    </row>
    <row r="1024">
      <c r="A1024" s="3"/>
      <c r="B1024" s="3"/>
      <c r="C1024" s="3"/>
      <c r="D1024" s="3"/>
      <c r="E1024" s="3"/>
      <c r="F1024" s="3"/>
      <c r="G1024" s="3"/>
      <c r="H1024" s="3"/>
      <c r="I1024" s="1"/>
      <c r="J1024" s="1"/>
      <c r="K1024" s="3"/>
      <c r="L1024" s="3"/>
      <c r="M1024" s="3"/>
      <c r="N1024" s="105"/>
      <c r="O1024" s="3"/>
      <c r="P1024" s="3"/>
      <c r="Q1024" s="25"/>
      <c r="R1024" s="3"/>
      <c r="S1024" s="3"/>
      <c r="T1024" s="3"/>
      <c r="U1024" s="3"/>
      <c r="V1024" s="1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81"/>
      <c r="AN1024" s="81"/>
      <c r="AO1024" s="81"/>
      <c r="AP1024" s="81"/>
      <c r="AQ1024" s="81"/>
      <c r="AR1024" s="81"/>
      <c r="AS1024" s="81"/>
      <c r="AT1024" s="81"/>
      <c r="AU1024" s="81"/>
      <c r="AV1024" s="81"/>
      <c r="AW1024" s="81"/>
      <c r="AX1024" s="81"/>
      <c r="AY1024" s="81"/>
      <c r="AZ1024" s="81"/>
      <c r="BA1024" s="81"/>
      <c r="BB1024" s="81"/>
    </row>
    <row r="1025">
      <c r="A1025" s="3"/>
      <c r="B1025" s="3"/>
      <c r="C1025" s="3"/>
      <c r="D1025" s="146"/>
      <c r="E1025" s="3"/>
      <c r="F1025" s="3"/>
      <c r="G1025" s="3"/>
      <c r="H1025" s="3"/>
      <c r="I1025" s="3"/>
      <c r="J1025" s="1"/>
      <c r="K1025" s="3"/>
      <c r="L1025" s="3"/>
      <c r="M1025" s="3"/>
      <c r="N1025" s="105"/>
      <c r="O1025" s="1"/>
      <c r="P1025" s="3"/>
      <c r="Q1025" s="25"/>
      <c r="R1025" s="3"/>
      <c r="S1025" s="1"/>
      <c r="T1025" s="1"/>
      <c r="U1025" s="1"/>
      <c r="V1025" s="3"/>
      <c r="W1025" s="1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107"/>
      <c r="AN1025" s="81"/>
      <c r="AO1025" s="81"/>
      <c r="AP1025" s="81"/>
      <c r="AQ1025" s="81"/>
      <c r="AR1025" s="81"/>
      <c r="AS1025" s="81"/>
      <c r="AT1025" s="81"/>
      <c r="AU1025" s="81"/>
      <c r="AV1025" s="81"/>
      <c r="AW1025" s="81"/>
      <c r="AX1025" s="81"/>
      <c r="AY1025" s="81"/>
      <c r="AZ1025" s="81"/>
      <c r="BA1025" s="81"/>
      <c r="BB1025" s="81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70"/>
      <c r="O1026" s="3"/>
      <c r="P1026" s="3"/>
      <c r="Q1026" s="25"/>
      <c r="R1026" s="3"/>
      <c r="S1026" s="1"/>
      <c r="T1026" s="1"/>
      <c r="U1026" s="1"/>
      <c r="V1026" s="3"/>
      <c r="W1026" s="3"/>
      <c r="X1026" s="1"/>
      <c r="Y1026" s="1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81"/>
      <c r="AN1026" s="81"/>
      <c r="AO1026" s="81"/>
      <c r="AP1026" s="81"/>
      <c r="AQ1026" s="81"/>
      <c r="AR1026" s="81"/>
      <c r="AS1026" s="81"/>
      <c r="AT1026" s="81"/>
      <c r="AU1026" s="81"/>
      <c r="AV1026" s="81"/>
      <c r="AW1026" s="81"/>
      <c r="AX1026" s="81"/>
      <c r="AY1026" s="81"/>
      <c r="AZ1026" s="81"/>
      <c r="BA1026" s="81"/>
      <c r="BB1026" s="81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1"/>
      <c r="K1027" s="3"/>
      <c r="L1027" s="3"/>
      <c r="M1027" s="3"/>
      <c r="N1027" s="70"/>
      <c r="O1027" s="3"/>
      <c r="P1027" s="3"/>
      <c r="Q1027" s="25"/>
      <c r="R1027" s="1"/>
      <c r="S1027" s="1"/>
      <c r="T1027" s="1"/>
      <c r="U1027" s="1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81"/>
      <c r="AN1027" s="81"/>
      <c r="AO1027" s="81"/>
      <c r="AP1027" s="81"/>
      <c r="AQ1027" s="81"/>
      <c r="AR1027" s="81"/>
      <c r="AS1027" s="81"/>
      <c r="AT1027" s="81"/>
      <c r="AU1027" s="81"/>
      <c r="AV1027" s="81"/>
      <c r="AW1027" s="81"/>
      <c r="AX1027" s="81"/>
      <c r="AY1027" s="81"/>
      <c r="AZ1027" s="81"/>
      <c r="BA1027" s="81"/>
      <c r="BB1027" s="81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1"/>
      <c r="K1028" s="3"/>
      <c r="L1028" s="3"/>
      <c r="M1028" s="3"/>
      <c r="N1028" s="70"/>
      <c r="O1028" s="3"/>
      <c r="P1028" s="3"/>
      <c r="Q1028" s="25"/>
      <c r="R1028" s="3"/>
      <c r="S1028" s="1"/>
      <c r="T1028" s="1"/>
      <c r="U1028" s="1"/>
      <c r="V1028" s="3"/>
      <c r="W1028" s="3"/>
      <c r="X1028" s="1"/>
      <c r="Y1028" s="1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81"/>
      <c r="AN1028" s="81"/>
      <c r="AO1028" s="81"/>
      <c r="AP1028" s="81"/>
      <c r="AQ1028" s="81"/>
      <c r="AR1028" s="81"/>
      <c r="AS1028" s="81"/>
      <c r="AT1028" s="81"/>
      <c r="AU1028" s="81"/>
      <c r="AV1028" s="81"/>
      <c r="AW1028" s="81"/>
      <c r="AX1028" s="81"/>
      <c r="AY1028" s="81"/>
      <c r="AZ1028" s="81"/>
      <c r="BA1028" s="81"/>
      <c r="BB1028" s="81"/>
    </row>
    <row r="1029">
      <c r="A1029" s="1"/>
      <c r="B1029" s="3"/>
      <c r="C1029" s="3"/>
      <c r="D1029" s="1"/>
      <c r="E1029" s="3"/>
      <c r="F1029" s="3"/>
      <c r="G1029" s="3"/>
      <c r="H1029" s="3"/>
      <c r="I1029" s="3"/>
      <c r="J1029" s="3"/>
      <c r="K1029" s="3"/>
      <c r="L1029" s="3"/>
      <c r="M1029" s="3"/>
      <c r="N1029" s="70"/>
      <c r="O1029" s="3"/>
      <c r="P1029" s="3"/>
      <c r="Q1029" s="25"/>
      <c r="R1029" s="3"/>
      <c r="S1029" s="1"/>
      <c r="T1029" s="1"/>
      <c r="U1029" s="1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81"/>
      <c r="AN1029" s="81"/>
      <c r="AO1029" s="81"/>
      <c r="AP1029" s="81"/>
      <c r="AQ1029" s="81"/>
      <c r="AR1029" s="81"/>
      <c r="AS1029" s="81"/>
      <c r="AT1029" s="81"/>
      <c r="AU1029" s="81"/>
      <c r="AV1029" s="81"/>
      <c r="AW1029" s="81"/>
      <c r="AX1029" s="81"/>
      <c r="AY1029" s="81"/>
      <c r="AZ1029" s="81"/>
      <c r="BA1029" s="81"/>
      <c r="BB1029" s="81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1"/>
      <c r="K1030" s="3"/>
      <c r="L1030" s="3"/>
      <c r="M1030" s="3"/>
      <c r="N1030" s="70"/>
      <c r="O1030" s="3"/>
      <c r="P1030" s="3"/>
      <c r="Q1030" s="25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81"/>
      <c r="AN1030" s="81"/>
      <c r="AO1030" s="81"/>
      <c r="AP1030" s="81"/>
      <c r="AQ1030" s="81"/>
      <c r="AR1030" s="81"/>
      <c r="AS1030" s="81"/>
      <c r="AT1030" s="81"/>
      <c r="AU1030" s="81"/>
      <c r="AV1030" s="81"/>
      <c r="AW1030" s="81"/>
      <c r="AX1030" s="81"/>
      <c r="AY1030" s="81"/>
      <c r="AZ1030" s="81"/>
      <c r="BA1030" s="81"/>
      <c r="BB1030" s="81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70"/>
      <c r="O1031" s="3"/>
      <c r="P1031" s="3"/>
      <c r="Q1031" s="25"/>
      <c r="R1031" s="3"/>
      <c r="S1031" s="1"/>
      <c r="T1031" s="1"/>
      <c r="U1031" s="1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81"/>
      <c r="AN1031" s="81"/>
      <c r="AO1031" s="81"/>
      <c r="AP1031" s="81"/>
      <c r="AQ1031" s="81"/>
      <c r="AR1031" s="81"/>
      <c r="AS1031" s="81"/>
      <c r="AT1031" s="81"/>
      <c r="AU1031" s="81"/>
      <c r="AV1031" s="81"/>
      <c r="AW1031" s="81"/>
      <c r="AX1031" s="81"/>
      <c r="AY1031" s="81"/>
      <c r="AZ1031" s="81"/>
      <c r="BA1031" s="81"/>
      <c r="BB1031" s="81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1"/>
      <c r="K1032" s="3"/>
      <c r="L1032" s="3"/>
      <c r="M1032" s="3"/>
      <c r="N1032" s="70"/>
      <c r="O1032" s="3"/>
      <c r="P1032" s="3"/>
      <c r="Q1032" s="25"/>
      <c r="R1032" s="3"/>
      <c r="S1032" s="1"/>
      <c r="T1032" s="1"/>
      <c r="U1032" s="1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81"/>
      <c r="AN1032" s="81"/>
      <c r="AO1032" s="81"/>
      <c r="AP1032" s="81"/>
      <c r="AQ1032" s="81"/>
      <c r="AR1032" s="81"/>
      <c r="AS1032" s="81"/>
      <c r="AT1032" s="81"/>
      <c r="AU1032" s="81"/>
      <c r="AV1032" s="81"/>
      <c r="AW1032" s="81"/>
      <c r="AX1032" s="81"/>
      <c r="AY1032" s="81"/>
      <c r="AZ1032" s="81"/>
      <c r="BA1032" s="81"/>
      <c r="BB1032" s="81"/>
    </row>
  </sheetData>
  <autoFilter ref="$A$1:$AN$404"/>
  <conditionalFormatting sqref="A1:AL1032">
    <cfRule type="notContainsBlanks" dxfId="0" priority="1">
      <formula>LEN(TRIM(A1))&gt;0</formula>
    </cfRule>
  </conditionalFormatting>
  <conditionalFormatting sqref="A1:AL1032">
    <cfRule type="colorScale" priority="2">
      <colorScale>
        <cfvo type="min"/>
        <cfvo type="max"/>
        <color rgb="FF57BB8A"/>
        <color rgb="FFFFFFFF"/>
      </colorScale>
    </cfRule>
  </conditionalFormatting>
  <dataValidations>
    <dataValidation type="decimal" operator="lessThan" allowBlank="1" showDropDown="1" sqref="AG1:AG1032">
      <formula1>10000.0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7.0"/>
    <col customWidth="1" min="3" max="3" width="9.0"/>
    <col customWidth="1" min="4" max="4" width="6.14"/>
    <col customWidth="1" min="5" max="5" width="15.43"/>
    <col customWidth="1" min="6" max="6" width="4.57"/>
    <col customWidth="1" min="7" max="7" width="11.43"/>
    <col customWidth="1" min="8" max="8" width="16.0"/>
    <col customWidth="1" min="9" max="9" width="18.86"/>
    <col customWidth="1" min="10" max="10" width="0.14"/>
    <col customWidth="1" min="11" max="26" width="10.71"/>
  </cols>
  <sheetData>
    <row r="1" ht="14.25" customHeight="1"/>
    <row r="2" ht="3.0" customHeight="1"/>
    <row r="3" ht="14.25" hidden="1" customHeight="1"/>
    <row r="4" ht="14.25" customHeight="1">
      <c r="A4" s="5" t="s">
        <v>1</v>
      </c>
      <c r="B4" s="6"/>
      <c r="C4" s="6"/>
      <c r="D4" s="6"/>
      <c r="E4" s="6"/>
      <c r="F4" s="6"/>
      <c r="G4" s="6"/>
      <c r="H4" s="6"/>
      <c r="I4" s="6"/>
      <c r="J4" s="8"/>
    </row>
    <row r="5" ht="15.0" customHeight="1">
      <c r="A5" s="9"/>
      <c r="J5" s="10"/>
    </row>
    <row r="6" ht="14.25" hidden="1" customHeight="1">
      <c r="A6" s="11"/>
      <c r="B6" s="12"/>
      <c r="C6" s="12"/>
      <c r="D6" s="12"/>
      <c r="E6" s="12"/>
      <c r="F6" s="12"/>
      <c r="G6" s="12"/>
      <c r="H6" s="12"/>
      <c r="I6" s="12"/>
      <c r="J6" s="13"/>
    </row>
    <row r="7" ht="14.25" customHeight="1">
      <c r="A7" s="14" t="s">
        <v>25</v>
      </c>
      <c r="B7" s="15"/>
      <c r="C7" s="16"/>
      <c r="D7" s="17"/>
      <c r="E7" s="18"/>
      <c r="F7" s="16"/>
      <c r="G7" s="16"/>
      <c r="H7" s="16"/>
      <c r="I7" s="16"/>
      <c r="J7" s="20"/>
    </row>
    <row r="8" ht="14.25" customHeight="1">
      <c r="A8" s="21"/>
      <c r="B8" s="23"/>
      <c r="C8" s="24"/>
      <c r="D8" s="26"/>
      <c r="E8" s="28" t="s">
        <v>54</v>
      </c>
      <c r="F8" s="34" t="s">
        <v>88</v>
      </c>
      <c r="G8" s="15"/>
      <c r="H8" s="35" t="s">
        <v>91</v>
      </c>
      <c r="I8" s="40">
        <f>TODAY()</f>
        <v>46227</v>
      </c>
      <c r="J8" s="41"/>
    </row>
    <row r="9" ht="14.25" customHeight="1">
      <c r="A9" s="28"/>
      <c r="B9" s="24"/>
      <c r="C9" s="24"/>
      <c r="D9" s="26"/>
      <c r="E9" s="43"/>
      <c r="F9" s="45"/>
      <c r="G9" s="45"/>
      <c r="H9" s="45"/>
      <c r="I9" s="45"/>
      <c r="J9" s="47"/>
    </row>
    <row r="10" ht="14.25" customHeight="1">
      <c r="A10" s="28" t="s">
        <v>31</v>
      </c>
      <c r="B10" s="24"/>
      <c r="C10" s="49" t="str">
        <f>+VLOOKUP(F8,'PAR PARENT'!A4:E785,2,0)</f>
        <v>#REF!</v>
      </c>
      <c r="D10" s="50"/>
      <c r="E10" s="24" t="s">
        <v>103</v>
      </c>
      <c r="F10" s="51"/>
      <c r="G10" s="24" t="s">
        <v>104</v>
      </c>
      <c r="H10" s="52" t="s">
        <v>105</v>
      </c>
      <c r="I10" s="52" t="s">
        <v>106</v>
      </c>
      <c r="J10" s="41"/>
    </row>
    <row r="11" ht="7.5" customHeight="1">
      <c r="A11" s="28"/>
      <c r="B11" s="24"/>
      <c r="C11" s="54"/>
      <c r="D11" s="56"/>
      <c r="E11" s="24"/>
      <c r="F11" s="51"/>
      <c r="G11" s="24"/>
      <c r="H11" s="52"/>
      <c r="I11" s="52"/>
      <c r="J11" s="41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4.25" customHeight="1">
      <c r="A12" s="28"/>
      <c r="B12" s="24"/>
      <c r="C12" s="64"/>
      <c r="D12" s="65"/>
      <c r="E12" s="66" t="s">
        <v>117</v>
      </c>
      <c r="F12" s="67"/>
      <c r="G12" s="24"/>
      <c r="H12" s="67" t="str">
        <f t="shared" ref="H12:H13" si="1">+VLOOKUP(E12,'PAR PARENT'!A4:E785,3,0)</f>
        <v>#REF!</v>
      </c>
      <c r="I12" s="67" t="str">
        <f t="shared" ref="I12:I13" si="2">+VLOOKUP(E12,'PAR PARENT'!A4:K786,6,0)</f>
        <v>#REF!</v>
      </c>
      <c r="J12" s="41"/>
    </row>
    <row r="13" ht="14.25" customHeight="1">
      <c r="A13" s="28" t="s">
        <v>119</v>
      </c>
      <c r="B13" s="24"/>
      <c r="C13" s="71"/>
      <c r="D13" s="72"/>
      <c r="E13" s="66" t="s">
        <v>121</v>
      </c>
      <c r="F13" s="24"/>
      <c r="G13" s="24"/>
      <c r="H13" s="67" t="str">
        <f t="shared" si="1"/>
        <v>#REF!</v>
      </c>
      <c r="I13" s="67" t="str">
        <f t="shared" si="2"/>
        <v>#REF!</v>
      </c>
      <c r="J13" s="41"/>
    </row>
    <row r="14" ht="7.5" customHeight="1">
      <c r="A14" s="28"/>
      <c r="B14" s="24"/>
      <c r="C14" s="52"/>
      <c r="D14" s="73"/>
      <c r="E14" s="24"/>
      <c r="F14" s="24"/>
      <c r="G14" s="24"/>
      <c r="H14" s="24"/>
      <c r="I14" s="24"/>
      <c r="J14" s="41"/>
    </row>
    <row r="15" ht="14.25" customHeight="1">
      <c r="A15" s="28" t="s">
        <v>122</v>
      </c>
      <c r="B15" s="75"/>
      <c r="C15" s="76"/>
      <c r="D15" s="77"/>
      <c r="E15" s="24"/>
      <c r="F15" s="24"/>
      <c r="G15" s="24"/>
      <c r="H15" s="24"/>
      <c r="I15" s="24"/>
      <c r="J15" s="41"/>
    </row>
    <row r="16" ht="6.75" customHeight="1">
      <c r="A16" s="28"/>
      <c r="B16" s="24"/>
      <c r="C16" s="78"/>
      <c r="D16" s="78"/>
      <c r="E16" s="24"/>
      <c r="F16" s="24"/>
      <c r="G16" s="24"/>
      <c r="H16" s="24"/>
      <c r="I16" s="24"/>
      <c r="J16" s="41"/>
    </row>
    <row r="17" ht="14.25" customHeight="1">
      <c r="A17" s="28" t="s">
        <v>123</v>
      </c>
      <c r="B17" s="24"/>
      <c r="C17" s="79"/>
      <c r="D17" s="80"/>
      <c r="E17" s="24"/>
      <c r="F17" s="24"/>
      <c r="G17" s="24"/>
      <c r="H17" s="24"/>
      <c r="I17" s="24"/>
      <c r="J17" s="41"/>
    </row>
    <row r="18" ht="8.25" customHeight="1">
      <c r="A18" s="28"/>
      <c r="B18" s="24"/>
      <c r="C18" s="52"/>
      <c r="D18" s="73"/>
      <c r="E18" s="24"/>
      <c r="F18" s="24"/>
      <c r="G18" s="24"/>
      <c r="H18" s="24"/>
      <c r="I18" s="24"/>
      <c r="J18" s="41"/>
    </row>
    <row r="19" ht="14.25" customHeight="1">
      <c r="A19" s="28" t="s">
        <v>124</v>
      </c>
      <c r="B19" s="75"/>
      <c r="C19" s="76"/>
      <c r="D19" s="77"/>
      <c r="E19" s="24"/>
      <c r="F19" s="24"/>
      <c r="G19" s="24"/>
      <c r="H19" s="24"/>
      <c r="I19" s="24"/>
      <c r="J19" s="41"/>
    </row>
    <row r="20" ht="21.75" customHeight="1">
      <c r="A20" s="82" t="s">
        <v>125</v>
      </c>
      <c r="B20" s="24"/>
      <c r="C20" s="24"/>
      <c r="D20" s="26"/>
      <c r="E20" s="24"/>
      <c r="F20" s="24"/>
      <c r="G20" s="24"/>
      <c r="H20" s="24"/>
      <c r="I20" s="24"/>
      <c r="J20" s="41"/>
    </row>
    <row r="21" ht="10.5" customHeight="1">
      <c r="A21" s="83"/>
      <c r="B21" s="24"/>
      <c r="C21" s="24"/>
      <c r="D21" s="26"/>
      <c r="E21" s="24"/>
      <c r="F21" s="24"/>
      <c r="G21" s="24"/>
      <c r="H21" s="24"/>
      <c r="I21" s="24"/>
      <c r="J21" s="41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4.25" customHeight="1">
      <c r="A22" s="84" t="str">
        <f>+VLOOKUP(F8,'Etat General Versement'!G7:AS1255,33,0)</f>
        <v>#REF!</v>
      </c>
      <c r="B22" s="72"/>
      <c r="C22" s="24"/>
      <c r="D22" s="26"/>
      <c r="E22" s="24"/>
      <c r="F22" s="24"/>
      <c r="G22" s="24"/>
      <c r="H22" s="24"/>
      <c r="I22" s="24"/>
      <c r="J22" s="41"/>
    </row>
    <row r="23" ht="14.25" customHeight="1">
      <c r="A23" s="86" t="str">
        <f>+VLOOKUP(F8,'Etat General Versement'!G7:AS1255,34,0)</f>
        <v>#REF!</v>
      </c>
      <c r="B23" s="87"/>
      <c r="C23" s="52"/>
      <c r="D23" s="10"/>
      <c r="E23" s="24"/>
      <c r="F23" s="24"/>
      <c r="G23" s="24"/>
      <c r="H23" s="24"/>
      <c r="I23" s="24"/>
      <c r="J23" s="41"/>
    </row>
    <row r="24" ht="14.25" customHeight="1">
      <c r="A24" s="86" t="str">
        <f>+VLOOKUP(F8,'Etat General Versement'!G7:AS1255,35,0)</f>
        <v>#REF!</v>
      </c>
      <c r="B24" s="87"/>
      <c r="C24" s="52"/>
      <c r="D24" s="10"/>
      <c r="E24" s="24"/>
      <c r="F24" s="24"/>
      <c r="G24" s="24"/>
      <c r="H24" s="24"/>
      <c r="I24" s="24"/>
      <c r="J24" s="41"/>
    </row>
    <row r="25" ht="14.25" customHeight="1">
      <c r="A25" s="86" t="str">
        <f>+VLOOKUP(F8,'Etat General Versement'!G7:AS1255,36,0)</f>
        <v>#REF!</v>
      </c>
      <c r="B25" s="87"/>
      <c r="C25" s="52"/>
      <c r="D25" s="10"/>
      <c r="E25" s="24"/>
      <c r="F25" s="24"/>
      <c r="G25" s="24"/>
      <c r="H25" s="24"/>
      <c r="I25" s="24"/>
      <c r="J25" s="41"/>
    </row>
    <row r="26" ht="14.25" customHeight="1">
      <c r="A26" s="86" t="str">
        <f>+VLOOKUP(F8,'Etat General Versement'!G7:AS1255,37,0)</f>
        <v>#REF!</v>
      </c>
      <c r="B26" s="87"/>
      <c r="C26" s="52"/>
      <c r="D26" s="10"/>
      <c r="E26" s="24"/>
      <c r="F26" s="24"/>
      <c r="G26" s="24"/>
      <c r="H26" s="24"/>
      <c r="I26" s="24"/>
      <c r="J26" s="41"/>
    </row>
    <row r="27" ht="14.25" customHeight="1">
      <c r="A27" s="86" t="str">
        <f>+VLOOKUP(F8,'Etat General Versement'!G7:AS1255,38,0)</f>
        <v>#REF!</v>
      </c>
      <c r="B27" s="87"/>
      <c r="C27" s="24"/>
      <c r="D27" s="26"/>
      <c r="E27" s="24"/>
      <c r="F27" s="24"/>
      <c r="G27" s="24"/>
      <c r="H27" s="24"/>
      <c r="I27" s="24"/>
      <c r="J27" s="41"/>
    </row>
    <row r="28" ht="14.25" customHeight="1">
      <c r="A28" s="96" t="str">
        <f>+VLOOKUP(F8,'Etat General Versement'!G7:AS1255,39,0)</f>
        <v>#REF!</v>
      </c>
      <c r="B28" s="98"/>
      <c r="C28" s="24"/>
      <c r="D28" s="26"/>
      <c r="E28" s="24"/>
      <c r="F28" s="24"/>
      <c r="G28" s="24"/>
      <c r="H28" s="24"/>
      <c r="I28" s="24"/>
      <c r="J28" s="41"/>
    </row>
    <row r="29" ht="14.25" customHeight="1">
      <c r="A29" s="96" t="str">
        <f>+VLOOKUP(F8,'Etat General Versement'!G7:AS1255,40,0)</f>
        <v>#REF!</v>
      </c>
      <c r="B29" s="98"/>
      <c r="C29" s="24"/>
      <c r="D29" s="26"/>
      <c r="E29" s="24"/>
      <c r="F29" s="24"/>
      <c r="G29" s="24"/>
      <c r="H29" s="24"/>
      <c r="I29" s="24"/>
      <c r="J29" s="41"/>
    </row>
    <row r="30" ht="14.25" customHeight="1">
      <c r="A30" s="86" t="str">
        <f>+VLOOKUP(F8,'Etat General Versement'!G7:AS1255,41,0)</f>
        <v>#REF!</v>
      </c>
      <c r="B30" s="87"/>
      <c r="C30" s="24"/>
      <c r="D30" s="26"/>
      <c r="E30" s="24"/>
      <c r="F30" s="24"/>
      <c r="G30" s="24"/>
      <c r="H30" s="24"/>
      <c r="I30" s="24"/>
      <c r="J30" s="41"/>
    </row>
    <row r="31" ht="14.25" customHeight="1">
      <c r="A31" s="99" t="str">
        <f>+VLOOKUP(F8,'Etat General Versement'!G7:AS1255,42,0)</f>
        <v>#REF!</v>
      </c>
      <c r="B31" s="100"/>
      <c r="C31" s="24"/>
      <c r="D31" s="26"/>
      <c r="E31" s="24"/>
      <c r="F31" s="24"/>
      <c r="G31" s="24"/>
      <c r="H31" s="24"/>
      <c r="I31" s="24"/>
      <c r="J31" s="41"/>
    </row>
    <row r="32" ht="14.25" customHeight="1">
      <c r="A32" s="101"/>
      <c r="B32" s="30"/>
      <c r="C32" s="30"/>
      <c r="D32" s="41"/>
      <c r="E32" s="30"/>
      <c r="F32" s="30"/>
      <c r="G32" s="30"/>
      <c r="H32" s="30"/>
      <c r="I32" s="30"/>
      <c r="J32" s="41"/>
    </row>
    <row r="33" ht="14.25" customHeight="1">
      <c r="A33" s="101"/>
      <c r="B33" s="30"/>
      <c r="C33" s="30"/>
      <c r="D33" s="41"/>
      <c r="E33" s="30"/>
      <c r="F33" s="30"/>
      <c r="G33" s="30"/>
      <c r="H33" s="30"/>
      <c r="I33" s="30"/>
      <c r="J33" s="41"/>
    </row>
    <row r="34" ht="14.25" customHeight="1">
      <c r="A34" s="101"/>
      <c r="B34" s="30"/>
      <c r="C34" s="30"/>
      <c r="D34" s="41"/>
      <c r="E34" s="30"/>
      <c r="F34" s="30"/>
      <c r="G34" s="30"/>
      <c r="H34" s="30"/>
      <c r="I34" s="30"/>
      <c r="J34" s="41"/>
    </row>
    <row r="35" ht="14.25" customHeight="1">
      <c r="A35" s="101"/>
      <c r="B35" s="30"/>
      <c r="C35" s="30"/>
      <c r="D35" s="41"/>
      <c r="E35" s="30"/>
      <c r="F35" s="30"/>
      <c r="G35" s="30"/>
      <c r="H35" s="30"/>
      <c r="I35" s="30"/>
      <c r="J35" s="41"/>
    </row>
    <row r="36" ht="14.25" customHeight="1">
      <c r="A36" s="101"/>
      <c r="B36" s="30"/>
      <c r="C36" s="30"/>
      <c r="D36" s="41"/>
      <c r="E36" s="30"/>
      <c r="F36" s="30"/>
      <c r="G36" s="30"/>
      <c r="H36" s="30"/>
      <c r="I36" s="30"/>
      <c r="J36" s="41"/>
    </row>
    <row r="37" ht="14.25" customHeight="1">
      <c r="A37" s="101"/>
      <c r="B37" s="30"/>
      <c r="C37" s="30"/>
      <c r="D37" s="41"/>
      <c r="E37" s="30"/>
      <c r="F37" s="30"/>
      <c r="G37" s="30"/>
      <c r="H37" s="30"/>
      <c r="I37" s="30"/>
      <c r="J37" s="41"/>
    </row>
    <row r="38" ht="14.25" customHeight="1">
      <c r="A38" s="101"/>
      <c r="B38" s="30"/>
      <c r="C38" s="30"/>
      <c r="D38" s="41"/>
      <c r="E38" s="30"/>
      <c r="F38" s="30"/>
      <c r="G38" s="30"/>
      <c r="H38" s="30"/>
      <c r="I38" s="30"/>
      <c r="J38" s="41"/>
    </row>
    <row r="39" ht="14.25" customHeight="1">
      <c r="A39" s="101"/>
      <c r="B39" s="30"/>
      <c r="C39" s="30"/>
      <c r="D39" s="41"/>
      <c r="E39" s="30"/>
      <c r="F39" s="30"/>
      <c r="G39" s="30"/>
      <c r="H39" s="30"/>
      <c r="I39" s="30"/>
      <c r="J39" s="41"/>
    </row>
    <row r="40" ht="14.25" customHeight="1">
      <c r="A40" s="101"/>
      <c r="B40" s="30"/>
      <c r="C40" s="30"/>
      <c r="D40" s="41"/>
      <c r="E40" s="30"/>
      <c r="F40" s="30"/>
      <c r="G40" s="30"/>
      <c r="H40" s="30"/>
      <c r="I40" s="30"/>
      <c r="J40" s="41"/>
    </row>
    <row r="41" ht="14.25" customHeight="1">
      <c r="A41" s="102"/>
      <c r="B41" s="103"/>
      <c r="C41" s="103"/>
      <c r="D41" s="47"/>
      <c r="E41" s="30"/>
      <c r="F41" s="30"/>
      <c r="G41" s="30"/>
      <c r="H41" s="30"/>
      <c r="I41" s="30"/>
      <c r="J41" s="41"/>
    </row>
    <row r="42" ht="14.25" customHeight="1">
      <c r="A42" s="102"/>
      <c r="B42" s="103"/>
      <c r="C42" s="103"/>
      <c r="D42" s="103"/>
      <c r="E42" s="30"/>
      <c r="F42" s="30"/>
      <c r="G42" s="30"/>
      <c r="H42" s="30"/>
      <c r="I42" s="30"/>
      <c r="J42" s="41"/>
    </row>
    <row r="43" ht="14.25" customHeight="1">
      <c r="E43" s="30"/>
      <c r="F43" s="30"/>
      <c r="G43" s="30"/>
      <c r="H43" s="30"/>
      <c r="I43" s="30"/>
      <c r="J43" s="41"/>
    </row>
    <row r="44" ht="14.25" customHeight="1">
      <c r="E44" s="30"/>
      <c r="F44" s="30"/>
      <c r="G44" s="30"/>
      <c r="H44" s="30"/>
      <c r="I44" s="30"/>
      <c r="J44" s="41"/>
    </row>
    <row r="45" ht="14.25" customHeight="1">
      <c r="E45" s="103"/>
      <c r="F45" s="103"/>
      <c r="G45" s="103"/>
      <c r="H45" s="103"/>
      <c r="I45" s="103"/>
      <c r="J45" s="47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4:J6"/>
    <mergeCell ref="A7:B7"/>
    <mergeCell ref="F8:G8"/>
    <mergeCell ref="C10:D10"/>
    <mergeCell ref="C13:D13"/>
    <mergeCell ref="C15:D15"/>
    <mergeCell ref="C17:D17"/>
    <mergeCell ref="A25:B25"/>
    <mergeCell ref="A26:B26"/>
    <mergeCell ref="A27:B27"/>
    <mergeCell ref="A28:B28"/>
    <mergeCell ref="A29:B29"/>
    <mergeCell ref="A30:B30"/>
    <mergeCell ref="A31:B31"/>
    <mergeCell ref="C19:D19"/>
    <mergeCell ref="A22:B22"/>
    <mergeCell ref="A23:B23"/>
    <mergeCell ref="C23:D23"/>
    <mergeCell ref="A24:B24"/>
    <mergeCell ref="C24:D24"/>
    <mergeCell ref="C25:D25"/>
    <mergeCell ref="C26:D26"/>
  </mergeCells>
  <dataValidations>
    <dataValidation type="list" allowBlank="1" showErrorMessage="1" sqref="F8 E12:E13">
      <formula1>parent</formula1>
    </dataValidation>
  </dataValidations>
  <printOptions/>
  <pageMargins bottom="0.75" footer="0.0" header="0.0" left="0.03125" right="0.010416666666666666" top="0.19791666666666666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9.86"/>
    <col customWidth="1" min="3" max="3" width="3.0"/>
    <col customWidth="1" min="4" max="8" width="10.71"/>
    <col customWidth="1" min="9" max="9" width="14.57"/>
    <col customWidth="1" min="10" max="26" width="10.71"/>
  </cols>
  <sheetData>
    <row r="1" ht="14.25" customHeight="1">
      <c r="A1" s="27"/>
      <c r="B1" s="27"/>
      <c r="C1" s="30"/>
      <c r="D1" s="30"/>
      <c r="E1" s="27"/>
      <c r="F1" s="27"/>
      <c r="G1" s="32"/>
      <c r="H1" s="27"/>
      <c r="I1" s="32"/>
    </row>
    <row r="2" ht="14.25" customHeight="1">
      <c r="A2" s="27" t="s">
        <v>72</v>
      </c>
      <c r="B2" s="33" t="s">
        <v>74</v>
      </c>
      <c r="E2" s="27"/>
      <c r="F2" s="27"/>
      <c r="G2" s="32"/>
      <c r="H2" s="27"/>
      <c r="I2" s="32"/>
    </row>
    <row r="3" ht="14.25" customHeight="1">
      <c r="A3" s="27"/>
      <c r="B3" s="27"/>
      <c r="C3" s="30"/>
      <c r="D3" s="30"/>
      <c r="E3" s="27"/>
      <c r="F3" s="27"/>
      <c r="G3" s="32"/>
      <c r="H3" s="27"/>
      <c r="I3" s="32"/>
    </row>
    <row r="4" ht="14.25" customHeight="1">
      <c r="A4" s="27"/>
      <c r="B4" s="27"/>
      <c r="C4" s="30"/>
      <c r="D4" s="30"/>
      <c r="E4" s="27"/>
      <c r="F4" s="27"/>
      <c r="G4" s="32"/>
      <c r="H4" s="27"/>
      <c r="I4" s="32"/>
    </row>
    <row r="5" ht="14.25" customHeight="1">
      <c r="A5" s="27"/>
      <c r="B5" s="27"/>
      <c r="C5" s="30"/>
      <c r="D5" s="30"/>
      <c r="E5" s="27"/>
      <c r="F5" s="27"/>
      <c r="G5" s="32"/>
      <c r="H5" s="27"/>
      <c r="I5" s="32"/>
    </row>
    <row r="6" ht="14.25" customHeight="1">
      <c r="A6" s="27"/>
      <c r="B6" s="27"/>
      <c r="C6" s="30"/>
      <c r="D6" s="30"/>
      <c r="E6" s="27"/>
      <c r="F6" s="37" t="s">
        <v>92</v>
      </c>
      <c r="G6" s="32"/>
      <c r="H6" s="27"/>
      <c r="I6" s="32"/>
    </row>
    <row r="7" ht="14.25" customHeight="1">
      <c r="A7" s="27"/>
      <c r="B7" s="27"/>
      <c r="C7" s="30"/>
      <c r="D7" s="30"/>
      <c r="E7" s="27"/>
      <c r="F7" s="27" t="s">
        <v>95</v>
      </c>
      <c r="G7" s="32"/>
      <c r="H7" s="27"/>
      <c r="I7" s="39" t="s">
        <v>97</v>
      </c>
    </row>
    <row r="8" ht="14.25" customHeight="1">
      <c r="A8" s="27"/>
      <c r="B8" s="27"/>
      <c r="C8" s="30"/>
      <c r="D8" s="30"/>
      <c r="E8" s="27"/>
      <c r="F8" s="27"/>
      <c r="G8" s="32"/>
      <c r="H8" s="27"/>
      <c r="I8" s="32"/>
    </row>
    <row r="9" ht="14.25" customHeight="1">
      <c r="A9" s="27"/>
      <c r="B9" s="27"/>
      <c r="C9" s="30"/>
      <c r="D9" s="30"/>
      <c r="E9" s="27"/>
      <c r="F9" s="27" t="s">
        <v>101</v>
      </c>
      <c r="G9" s="32"/>
      <c r="H9" s="27"/>
      <c r="I9" s="48">
        <f>TODAY()</f>
        <v>46227</v>
      </c>
    </row>
    <row r="10" ht="14.25" customHeight="1">
      <c r="A10" s="27"/>
      <c r="B10" s="27"/>
      <c r="C10" s="30"/>
      <c r="D10" s="30"/>
      <c r="E10" s="27"/>
      <c r="F10" s="27"/>
      <c r="G10" s="32"/>
      <c r="H10" s="27"/>
      <c r="I10" s="32"/>
    </row>
    <row r="11" ht="14.25" customHeight="1">
      <c r="A11" s="27"/>
      <c r="B11" s="27"/>
      <c r="C11" s="30"/>
      <c r="D11" s="30"/>
      <c r="E11" s="27"/>
      <c r="F11" s="27" t="s">
        <v>102</v>
      </c>
      <c r="G11" s="32"/>
      <c r="H11" s="27"/>
      <c r="I11" s="48"/>
    </row>
    <row r="12" ht="14.25" customHeight="1">
      <c r="A12" s="27"/>
      <c r="B12" s="27"/>
      <c r="C12" s="30"/>
      <c r="D12" s="30"/>
      <c r="E12" s="27"/>
      <c r="F12" s="27"/>
      <c r="G12" s="32"/>
      <c r="H12" s="27"/>
      <c r="I12" s="32"/>
    </row>
    <row r="13" ht="14.25" customHeight="1">
      <c r="A13" s="53" t="s">
        <v>107</v>
      </c>
      <c r="B13" s="55"/>
      <c r="C13" s="55"/>
      <c r="D13" s="57" t="s">
        <v>108</v>
      </c>
      <c r="E13" s="57" t="s">
        <v>109</v>
      </c>
      <c r="F13" s="57" t="s">
        <v>110</v>
      </c>
      <c r="G13" s="58" t="s">
        <v>111</v>
      </c>
      <c r="H13" s="55"/>
      <c r="I13" s="59" t="s">
        <v>112</v>
      </c>
    </row>
    <row r="14" ht="14.25" customHeight="1">
      <c r="A14" s="60"/>
      <c r="B14" s="60"/>
      <c r="C14" s="60"/>
      <c r="D14" s="61"/>
      <c r="E14" s="60"/>
      <c r="F14" s="60"/>
      <c r="G14" s="62"/>
      <c r="H14" s="60"/>
      <c r="I14" s="62"/>
    </row>
    <row r="15" ht="14.25" customHeight="1">
      <c r="A15" s="63" t="s">
        <v>116</v>
      </c>
      <c r="D15" s="30" t="s">
        <v>41</v>
      </c>
      <c r="E15" s="68">
        <v>28000.0</v>
      </c>
      <c r="F15" s="68">
        <v>210000.0</v>
      </c>
      <c r="G15" s="32" t="s">
        <v>118</v>
      </c>
      <c r="H15" s="68">
        <v>43000.0</v>
      </c>
      <c r="I15" s="69">
        <f t="shared" ref="I15:I17" si="1">+SUM(A15:H15)</f>
        <v>281000</v>
      </c>
    </row>
    <row r="16" ht="14.25" customHeight="1">
      <c r="A16" s="27" t="s">
        <v>120</v>
      </c>
      <c r="D16" s="30"/>
      <c r="E16" s="68">
        <v>18000.0</v>
      </c>
      <c r="F16" s="68">
        <v>125000.0</v>
      </c>
      <c r="G16" s="32" t="s">
        <v>118</v>
      </c>
      <c r="H16" s="68">
        <v>43000.0</v>
      </c>
      <c r="I16" s="69">
        <f t="shared" si="1"/>
        <v>186000</v>
      </c>
    </row>
    <row r="17" ht="14.25" customHeight="1">
      <c r="A17" s="27"/>
      <c r="D17" s="30" t="s">
        <v>8</v>
      </c>
      <c r="E17" s="68">
        <v>18000.0</v>
      </c>
      <c r="F17" s="68">
        <v>125000.0</v>
      </c>
      <c r="G17" s="32" t="s">
        <v>118</v>
      </c>
      <c r="H17" s="68">
        <v>43000.0</v>
      </c>
      <c r="I17" s="69">
        <f t="shared" si="1"/>
        <v>186000</v>
      </c>
    </row>
    <row r="18" ht="14.25" customHeight="1">
      <c r="A18" s="27"/>
      <c r="D18" s="30"/>
      <c r="E18" s="68"/>
      <c r="F18" s="68"/>
      <c r="G18" s="32"/>
      <c r="H18" s="68"/>
      <c r="I18" s="69"/>
    </row>
    <row r="19" ht="14.25" customHeight="1">
      <c r="A19" s="74"/>
      <c r="D19" s="30"/>
      <c r="E19" s="68"/>
      <c r="F19" s="68"/>
      <c r="G19" s="32"/>
      <c r="H19" s="68"/>
      <c r="I19" s="69"/>
    </row>
    <row r="20" ht="14.25" customHeight="1">
      <c r="A20" s="74"/>
      <c r="D20" s="30"/>
      <c r="E20" s="68"/>
      <c r="F20" s="68"/>
      <c r="G20" s="32"/>
      <c r="H20" s="68"/>
      <c r="I20" s="69"/>
    </row>
    <row r="21" ht="14.25" customHeight="1">
      <c r="A21" s="74"/>
      <c r="D21" s="30"/>
      <c r="E21" s="68"/>
      <c r="F21" s="68"/>
      <c r="G21" s="32"/>
      <c r="H21" s="68"/>
      <c r="I21" s="69"/>
    </row>
    <row r="22" ht="14.25" customHeight="1">
      <c r="A22" s="74"/>
      <c r="D22" s="30"/>
      <c r="E22" s="68"/>
      <c r="F22" s="68"/>
      <c r="G22" s="32"/>
      <c r="H22" s="68"/>
      <c r="I22" s="69"/>
    </row>
    <row r="23" ht="14.25" customHeight="1">
      <c r="A23" s="74"/>
      <c r="D23" s="30"/>
      <c r="E23" s="68"/>
      <c r="F23" s="68"/>
      <c r="G23" s="32"/>
      <c r="H23" s="68"/>
      <c r="I23" s="69"/>
    </row>
    <row r="24" ht="14.25" customHeight="1">
      <c r="A24" s="27"/>
      <c r="B24" s="27"/>
      <c r="C24" s="30"/>
      <c r="D24" s="30"/>
      <c r="E24" s="68"/>
      <c r="F24" s="68"/>
      <c r="G24" s="32"/>
      <c r="H24" s="68"/>
      <c r="I24" s="69"/>
    </row>
    <row r="25" ht="14.25" customHeight="1">
      <c r="A25" s="27"/>
      <c r="B25" s="27"/>
      <c r="C25" s="30"/>
      <c r="D25" s="30"/>
      <c r="E25" s="68"/>
      <c r="F25" s="68"/>
      <c r="G25" s="32"/>
      <c r="H25" s="68"/>
      <c r="I25" s="69"/>
    </row>
    <row r="26" ht="14.25" customHeight="1">
      <c r="A26" s="27"/>
      <c r="B26" s="27"/>
      <c r="C26" s="30"/>
      <c r="D26" s="30"/>
      <c r="E26" s="68"/>
      <c r="F26" s="68"/>
      <c r="G26" s="32"/>
      <c r="H26" s="68"/>
      <c r="I26" s="69"/>
    </row>
    <row r="27" ht="14.25" customHeight="1">
      <c r="A27" s="27"/>
      <c r="B27" s="27"/>
      <c r="C27" s="30"/>
      <c r="D27" s="30"/>
      <c r="E27" s="27"/>
      <c r="F27" s="27"/>
      <c r="G27" s="32" t="s">
        <v>127</v>
      </c>
      <c r="H27" s="27"/>
      <c r="I27" s="69">
        <f>+SUM(I15:I26)</f>
        <v>653000</v>
      </c>
    </row>
    <row r="28" ht="14.25" customHeight="1">
      <c r="A28" s="27"/>
      <c r="B28" s="27"/>
      <c r="C28" s="30"/>
      <c r="D28" s="30"/>
      <c r="E28" s="27"/>
      <c r="F28" s="27"/>
      <c r="G28" s="32"/>
      <c r="H28" s="27"/>
      <c r="I28" s="69"/>
    </row>
    <row r="29" ht="14.25" customHeight="1">
      <c r="A29" s="27"/>
      <c r="B29" s="27"/>
      <c r="C29" s="30"/>
      <c r="D29" s="30"/>
      <c r="E29" s="27"/>
      <c r="F29" s="27"/>
      <c r="G29" s="32" t="s">
        <v>130</v>
      </c>
      <c r="H29" s="27"/>
      <c r="I29" s="69">
        <v>10000.0</v>
      </c>
    </row>
    <row r="30" ht="14.25" customHeight="1">
      <c r="A30" s="27"/>
      <c r="B30" s="27"/>
      <c r="C30" s="30"/>
      <c r="D30" s="30"/>
      <c r="E30" s="27"/>
      <c r="F30" s="27"/>
      <c r="G30" s="32"/>
      <c r="H30" s="27"/>
      <c r="I30" s="69"/>
    </row>
    <row r="31" ht="14.25" customHeight="1">
      <c r="A31" s="27"/>
      <c r="B31" s="27"/>
      <c r="C31" s="30"/>
      <c r="D31" s="30"/>
      <c r="E31" s="27"/>
      <c r="F31" s="85"/>
      <c r="G31" s="88" t="s">
        <v>131</v>
      </c>
      <c r="H31" s="88"/>
      <c r="I31" s="89">
        <f>+I27-I29</f>
        <v>643000</v>
      </c>
    </row>
    <row r="32" ht="14.25" customHeight="1">
      <c r="A32" s="27"/>
      <c r="B32" s="27"/>
      <c r="C32" s="30"/>
      <c r="D32" s="30"/>
      <c r="E32" s="27"/>
      <c r="F32" s="27"/>
      <c r="G32" s="32"/>
      <c r="H32" s="27"/>
      <c r="I32" s="32"/>
    </row>
    <row r="33" ht="14.25" customHeight="1">
      <c r="A33" s="27"/>
      <c r="B33" s="27"/>
      <c r="C33" s="30"/>
      <c r="D33" s="30"/>
      <c r="E33" s="27"/>
      <c r="F33" s="27"/>
      <c r="G33" s="32"/>
      <c r="H33" s="27"/>
      <c r="I33" s="32"/>
    </row>
    <row r="34" ht="14.25" customHeight="1">
      <c r="A34" s="27"/>
      <c r="C34" s="30"/>
      <c r="D34" s="90"/>
      <c r="E34" s="27"/>
    </row>
    <row r="35" ht="14.25" customHeight="1">
      <c r="A35" s="27" t="s">
        <v>133</v>
      </c>
      <c r="C35" s="30"/>
      <c r="D35" s="90">
        <f>+SUM(F15:F26)*0.05</f>
        <v>23000</v>
      </c>
      <c r="E35" s="27" t="s">
        <v>134</v>
      </c>
    </row>
    <row r="36" ht="14.25" customHeight="1">
      <c r="A36" s="27"/>
      <c r="B36" s="27"/>
      <c r="C36" s="30"/>
      <c r="D36" s="30"/>
      <c r="E36" s="27"/>
      <c r="F36" s="27"/>
      <c r="G36" s="32"/>
      <c r="H36" s="27"/>
      <c r="I36" s="32"/>
    </row>
    <row r="37" ht="14.25" customHeight="1">
      <c r="A37" s="91" t="s">
        <v>135</v>
      </c>
      <c r="B37" s="92"/>
      <c r="C37" s="92"/>
      <c r="D37" s="92"/>
      <c r="E37" s="92"/>
      <c r="F37" s="92"/>
      <c r="G37" s="92"/>
      <c r="H37" s="92"/>
      <c r="I37" s="92"/>
    </row>
    <row r="38" ht="14.25" customHeight="1">
      <c r="A38" s="93"/>
      <c r="B38" s="93"/>
      <c r="C38" s="93"/>
      <c r="D38" s="93"/>
      <c r="E38" s="93"/>
      <c r="F38" s="93"/>
      <c r="G38" s="93"/>
      <c r="H38" s="94"/>
      <c r="I38" s="93"/>
    </row>
    <row r="39" ht="15.0" customHeight="1">
      <c r="A39" s="95"/>
      <c r="B39" s="93"/>
      <c r="C39" s="93"/>
      <c r="D39" s="93"/>
      <c r="E39" s="97">
        <f>18000*2+28000+21000+25000</f>
        <v>110000</v>
      </c>
      <c r="I39" s="93"/>
    </row>
    <row r="40" ht="15.0" customHeight="1">
      <c r="A40" s="93"/>
      <c r="B40" s="93"/>
      <c r="C40" s="93"/>
      <c r="D40" s="93"/>
      <c r="H40" s="94"/>
      <c r="I40" s="93"/>
    </row>
    <row r="41" ht="14.25" customHeight="1">
      <c r="A41" s="91" t="s">
        <v>137</v>
      </c>
      <c r="B41" s="92"/>
      <c r="C41" s="92"/>
      <c r="D41" s="92"/>
      <c r="E41" s="92"/>
      <c r="F41" s="92"/>
      <c r="G41" s="92"/>
      <c r="H41" s="92"/>
      <c r="I41" s="92"/>
    </row>
    <row r="42" ht="14.25" customHeight="1">
      <c r="A42" s="93" t="s">
        <v>138</v>
      </c>
      <c r="B42" s="92"/>
      <c r="C42" s="92"/>
      <c r="D42" s="92"/>
      <c r="E42" s="92"/>
      <c r="F42" s="92"/>
      <c r="G42" s="92"/>
      <c r="H42" s="92"/>
      <c r="I42" s="92"/>
    </row>
    <row r="43" ht="14.25" customHeight="1">
      <c r="A43" s="81" t="s">
        <v>139</v>
      </c>
      <c r="B43" s="27"/>
      <c r="C43" s="30"/>
      <c r="D43" s="30"/>
      <c r="E43" s="27"/>
      <c r="F43" s="27"/>
      <c r="G43" s="32"/>
      <c r="H43" s="27"/>
      <c r="I43" s="32"/>
    </row>
    <row r="44" ht="14.25" customHeight="1">
      <c r="A44" s="60" t="s">
        <v>140</v>
      </c>
      <c r="B44" s="27"/>
      <c r="C44" s="30"/>
      <c r="D44" s="30"/>
      <c r="E44" s="27"/>
      <c r="F44" s="27"/>
      <c r="G44" s="32"/>
      <c r="H44" s="27"/>
      <c r="I44" s="32"/>
    </row>
    <row r="45" ht="14.25" customHeight="1">
      <c r="A45" s="27"/>
      <c r="B45" s="27"/>
      <c r="C45" s="30"/>
      <c r="D45" s="30"/>
      <c r="E45" s="27"/>
      <c r="F45" s="27"/>
      <c r="G45" s="32"/>
      <c r="H45" s="27"/>
      <c r="I45" s="32"/>
    </row>
    <row r="46" ht="14.25" customHeight="1"/>
    <row r="47" ht="14.25" customHeight="1"/>
    <row r="48" ht="14.25" customHeight="1"/>
    <row r="49" ht="14.25" customHeight="1">
      <c r="A49" s="27"/>
      <c r="B49" s="27"/>
      <c r="C49" s="30"/>
      <c r="D49" s="30"/>
      <c r="E49" s="27"/>
      <c r="F49" s="27"/>
      <c r="G49" s="32"/>
      <c r="H49" s="27"/>
      <c r="I49" s="32"/>
    </row>
    <row r="50" ht="14.25" customHeight="1">
      <c r="A50" s="27" t="s">
        <v>72</v>
      </c>
      <c r="B50" s="33" t="s">
        <v>141</v>
      </c>
      <c r="E50" s="27"/>
      <c r="F50" s="27"/>
      <c r="G50" s="32"/>
      <c r="H50" s="27"/>
      <c r="I50" s="32"/>
    </row>
    <row r="51" ht="14.25" customHeight="1">
      <c r="A51" s="27"/>
      <c r="B51" s="27"/>
      <c r="C51" s="30"/>
      <c r="D51" s="30"/>
      <c r="E51" s="27"/>
      <c r="F51" s="27"/>
      <c r="G51" s="32"/>
      <c r="H51" s="27"/>
      <c r="I51" s="32"/>
    </row>
    <row r="52" ht="14.25" customHeight="1">
      <c r="A52" s="27"/>
      <c r="B52" s="27"/>
      <c r="C52" s="30"/>
      <c r="D52" s="30"/>
      <c r="E52" s="27"/>
      <c r="F52" s="27"/>
      <c r="G52" s="32"/>
      <c r="H52" s="27"/>
      <c r="I52" s="32"/>
    </row>
    <row r="53" ht="14.25" customHeight="1">
      <c r="A53" s="27"/>
      <c r="B53" s="27"/>
      <c r="C53" s="30"/>
      <c r="D53" s="30"/>
      <c r="E53" s="27"/>
      <c r="F53" s="27"/>
      <c r="G53" s="32"/>
      <c r="H53" s="27"/>
      <c r="I53" s="32"/>
    </row>
    <row r="54" ht="14.25" customHeight="1">
      <c r="A54" s="27"/>
      <c r="B54" s="27"/>
      <c r="C54" s="30"/>
      <c r="D54" s="30"/>
      <c r="E54" s="27"/>
      <c r="F54" s="37" t="s">
        <v>92</v>
      </c>
      <c r="G54" s="32"/>
      <c r="H54" s="27"/>
      <c r="I54" s="32"/>
    </row>
    <row r="55" ht="14.25" customHeight="1">
      <c r="A55" s="27"/>
      <c r="B55" s="27"/>
      <c r="C55" s="30"/>
      <c r="D55" s="30"/>
      <c r="E55" s="27"/>
      <c r="F55" s="27" t="s">
        <v>95</v>
      </c>
      <c r="G55" s="32"/>
      <c r="H55" s="27"/>
      <c r="I55" s="39" t="s">
        <v>142</v>
      </c>
    </row>
    <row r="56" ht="14.25" customHeight="1">
      <c r="A56" s="27"/>
      <c r="B56" s="27"/>
      <c r="C56" s="30"/>
      <c r="D56" s="30"/>
      <c r="E56" s="27"/>
      <c r="F56" s="27"/>
      <c r="G56" s="32"/>
      <c r="H56" s="27"/>
      <c r="I56" s="32"/>
    </row>
    <row r="57" ht="14.25" customHeight="1">
      <c r="A57" s="27"/>
      <c r="B57" s="27"/>
      <c r="C57" s="30"/>
      <c r="D57" s="30"/>
      <c r="E57" s="27"/>
      <c r="F57" s="27" t="s">
        <v>101</v>
      </c>
      <c r="G57" s="32"/>
      <c r="H57" s="27"/>
      <c r="I57" s="48">
        <f>TODAY()</f>
        <v>46227</v>
      </c>
    </row>
    <row r="58" ht="14.25" customHeight="1">
      <c r="A58" s="27"/>
      <c r="B58" s="27"/>
      <c r="C58" s="30"/>
      <c r="D58" s="30"/>
      <c r="E58" s="27"/>
      <c r="F58" s="27"/>
      <c r="G58" s="32"/>
      <c r="H58" s="27"/>
      <c r="I58" s="32"/>
    </row>
    <row r="59" ht="14.25" customHeight="1">
      <c r="A59" s="27"/>
      <c r="B59" s="27"/>
      <c r="C59" s="30"/>
      <c r="D59" s="30"/>
      <c r="E59" s="27"/>
      <c r="F59" s="27" t="s">
        <v>102</v>
      </c>
      <c r="G59" s="32"/>
      <c r="H59" s="27"/>
      <c r="I59" s="48">
        <v>44362.0</v>
      </c>
    </row>
    <row r="60" ht="14.25" customHeight="1">
      <c r="A60" s="27"/>
      <c r="B60" s="27"/>
      <c r="C60" s="30"/>
      <c r="D60" s="30"/>
      <c r="E60" s="27"/>
      <c r="F60" s="27"/>
      <c r="G60" s="32"/>
      <c r="H60" s="27"/>
      <c r="I60" s="32"/>
    </row>
    <row r="61" ht="14.25" customHeight="1">
      <c r="A61" s="53" t="s">
        <v>107</v>
      </c>
      <c r="B61" s="55"/>
      <c r="C61" s="55"/>
      <c r="D61" s="57" t="s">
        <v>108</v>
      </c>
      <c r="E61" s="57" t="s">
        <v>109</v>
      </c>
      <c r="F61" s="57" t="s">
        <v>110</v>
      </c>
      <c r="G61" s="58" t="s">
        <v>111</v>
      </c>
      <c r="H61" s="55"/>
      <c r="I61" s="59" t="s">
        <v>112</v>
      </c>
    </row>
    <row r="62" ht="14.25" customHeight="1">
      <c r="A62" s="60"/>
      <c r="B62" s="60"/>
      <c r="C62" s="60"/>
      <c r="D62" s="61"/>
      <c r="E62" s="60"/>
      <c r="F62" s="60"/>
      <c r="G62" s="62"/>
      <c r="H62" s="60"/>
      <c r="I62" s="62"/>
    </row>
    <row r="63" ht="14.25" customHeight="1">
      <c r="A63" s="63" t="s">
        <v>145</v>
      </c>
      <c r="D63" s="104" t="s">
        <v>146</v>
      </c>
      <c r="E63" s="68">
        <v>28000.0</v>
      </c>
      <c r="F63" s="68">
        <v>250000.0</v>
      </c>
      <c r="G63" s="32"/>
      <c r="H63" s="68"/>
      <c r="I63" s="69">
        <f t="shared" ref="I63:I65" si="2">+SUM(A63:H63)</f>
        <v>278000</v>
      </c>
    </row>
    <row r="64" ht="14.25" customHeight="1">
      <c r="A64" s="27" t="s">
        <v>147</v>
      </c>
      <c r="D64" s="104" t="s">
        <v>39</v>
      </c>
      <c r="E64" s="68">
        <v>28000.0</v>
      </c>
      <c r="F64" s="68">
        <v>180000.0</v>
      </c>
      <c r="G64" s="32"/>
      <c r="H64" s="68"/>
      <c r="I64" s="69">
        <f t="shared" si="2"/>
        <v>208000</v>
      </c>
    </row>
    <row r="65" ht="14.25" customHeight="1">
      <c r="A65" s="27" t="s">
        <v>148</v>
      </c>
      <c r="D65" s="104" t="s">
        <v>17</v>
      </c>
      <c r="E65" s="68">
        <v>28000.0</v>
      </c>
      <c r="F65" s="68">
        <v>170000.0</v>
      </c>
      <c r="G65" s="32"/>
      <c r="H65" s="68"/>
      <c r="I65" s="69">
        <f t="shared" si="2"/>
        <v>198000</v>
      </c>
    </row>
    <row r="66" ht="14.25" customHeight="1">
      <c r="A66" s="27"/>
      <c r="D66" s="30"/>
      <c r="E66" s="68"/>
      <c r="F66" s="68"/>
      <c r="G66" s="32"/>
      <c r="H66" s="68"/>
      <c r="I66" s="69"/>
    </row>
    <row r="67" ht="14.25" customHeight="1">
      <c r="A67" s="74"/>
      <c r="D67" s="30"/>
      <c r="E67" s="68"/>
      <c r="F67" s="68"/>
      <c r="G67" s="32"/>
      <c r="H67" s="68"/>
      <c r="I67" s="69"/>
    </row>
    <row r="68" ht="14.25" customHeight="1">
      <c r="A68" s="74"/>
      <c r="D68" s="30"/>
      <c r="E68" s="68"/>
      <c r="F68" s="68"/>
      <c r="G68" s="32"/>
      <c r="H68" s="68"/>
      <c r="I68" s="69"/>
    </row>
    <row r="69" ht="14.25" customHeight="1">
      <c r="A69" s="74"/>
      <c r="D69" s="30"/>
      <c r="E69" s="68"/>
      <c r="F69" s="68"/>
      <c r="G69" s="32"/>
      <c r="H69" s="68"/>
      <c r="I69" s="69"/>
    </row>
    <row r="70" ht="14.25" customHeight="1">
      <c r="A70" s="74"/>
      <c r="D70" s="30"/>
      <c r="E70" s="68"/>
      <c r="F70" s="68"/>
      <c r="G70" s="32"/>
      <c r="H70" s="68"/>
      <c r="I70" s="69"/>
    </row>
    <row r="71" ht="14.25" customHeight="1">
      <c r="A71" s="74"/>
      <c r="D71" s="30"/>
      <c r="E71" s="68"/>
      <c r="F71" s="68"/>
      <c r="G71" s="32"/>
      <c r="H71" s="68"/>
      <c r="I71" s="69"/>
    </row>
    <row r="72" ht="14.25" customHeight="1">
      <c r="A72" s="27"/>
      <c r="B72" s="27"/>
      <c r="C72" s="30"/>
      <c r="D72" s="30"/>
      <c r="E72" s="68"/>
      <c r="F72" s="68"/>
      <c r="G72" s="32"/>
      <c r="H72" s="68"/>
      <c r="I72" s="69"/>
    </row>
    <row r="73" ht="14.25" customHeight="1">
      <c r="A73" s="27"/>
      <c r="B73" s="27"/>
      <c r="C73" s="30"/>
      <c r="D73" s="30"/>
      <c r="E73" s="68"/>
      <c r="F73" s="68"/>
      <c r="G73" s="32"/>
      <c r="H73" s="68"/>
      <c r="I73" s="69"/>
    </row>
    <row r="74" ht="14.25" customHeight="1">
      <c r="A74" s="27"/>
      <c r="B74" s="27"/>
      <c r="C74" s="30"/>
      <c r="D74" s="30"/>
      <c r="E74" s="68"/>
      <c r="F74" s="68"/>
      <c r="G74" s="32"/>
      <c r="H74" s="68"/>
      <c r="I74" s="69"/>
    </row>
    <row r="75" ht="14.25" customHeight="1">
      <c r="A75" s="27"/>
      <c r="B75" s="27"/>
      <c r="C75" s="30"/>
      <c r="D75" s="30"/>
      <c r="E75" s="27"/>
      <c r="F75" s="27"/>
      <c r="G75" s="32" t="s">
        <v>127</v>
      </c>
      <c r="H75" s="27"/>
      <c r="I75" s="69">
        <f>+SUM(I63:I74)</f>
        <v>684000</v>
      </c>
    </row>
    <row r="76" ht="14.25" customHeight="1">
      <c r="A76" s="27"/>
      <c r="B76" s="27"/>
      <c r="C76" s="30"/>
      <c r="D76" s="30"/>
      <c r="E76" s="27"/>
      <c r="F76" s="27"/>
      <c r="G76" s="32"/>
      <c r="H76" s="27"/>
      <c r="I76" s="69"/>
    </row>
    <row r="77" ht="14.25" customHeight="1">
      <c r="A77" s="27"/>
      <c r="B77" s="27"/>
      <c r="C77" s="30"/>
      <c r="D77" s="30"/>
      <c r="E77" s="27"/>
      <c r="F77" s="27"/>
      <c r="G77" s="32" t="s">
        <v>130</v>
      </c>
      <c r="H77" s="27"/>
      <c r="I77" s="69">
        <v>41500.0</v>
      </c>
    </row>
    <row r="78" ht="14.25" customHeight="1">
      <c r="A78" s="27"/>
      <c r="B78" s="27"/>
      <c r="C78" s="30"/>
      <c r="D78" s="30"/>
      <c r="E78" s="27"/>
      <c r="F78" s="27"/>
      <c r="G78" s="32"/>
      <c r="H78" s="27"/>
      <c r="I78" s="69"/>
    </row>
    <row r="79" ht="14.25" customHeight="1">
      <c r="A79" s="27"/>
      <c r="B79" s="27"/>
      <c r="C79" s="30"/>
      <c r="D79" s="30"/>
      <c r="E79" s="27"/>
      <c r="F79" s="85"/>
      <c r="G79" s="88" t="s">
        <v>131</v>
      </c>
      <c r="H79" s="88"/>
      <c r="I79" s="89">
        <f>+I75-I77</f>
        <v>642500</v>
      </c>
    </row>
    <row r="80" ht="14.25" customHeight="1">
      <c r="A80" s="27"/>
      <c r="B80" s="27"/>
      <c r="C80" s="30"/>
      <c r="D80" s="30"/>
      <c r="E80" s="27"/>
      <c r="F80" s="27"/>
      <c r="G80" s="32"/>
      <c r="H80" s="27"/>
      <c r="I80" s="32"/>
    </row>
    <row r="81" ht="14.25" customHeight="1">
      <c r="A81" s="27"/>
      <c r="B81" s="27"/>
      <c r="C81" s="30"/>
      <c r="D81" s="30"/>
      <c r="E81" s="27"/>
      <c r="F81" s="27"/>
      <c r="G81" s="32"/>
      <c r="H81" s="27"/>
      <c r="I81" s="32"/>
    </row>
    <row r="82" ht="14.25" customHeight="1">
      <c r="A82" s="27"/>
      <c r="C82" s="30"/>
      <c r="D82" s="90"/>
      <c r="E82" s="27"/>
    </row>
    <row r="83" ht="14.25" customHeight="1">
      <c r="A83" s="27" t="s">
        <v>133</v>
      </c>
      <c r="C83" s="30"/>
      <c r="D83" s="90">
        <f>+SUM(F63:F74)*0.05</f>
        <v>30000</v>
      </c>
      <c r="E83" s="27" t="s">
        <v>134</v>
      </c>
    </row>
    <row r="84" ht="14.25" customHeight="1">
      <c r="A84" s="27"/>
      <c r="B84" s="27"/>
      <c r="C84" s="30"/>
      <c r="D84" s="30"/>
      <c r="E84" s="27"/>
      <c r="F84" s="27"/>
      <c r="G84" s="32"/>
      <c r="H84" s="27"/>
      <c r="I84" s="32"/>
    </row>
    <row r="85" ht="14.25" customHeight="1">
      <c r="A85" s="91" t="s">
        <v>135</v>
      </c>
      <c r="B85" s="92"/>
      <c r="C85" s="92"/>
      <c r="D85" s="92"/>
      <c r="E85" s="92"/>
      <c r="F85" s="92"/>
      <c r="G85" s="92"/>
      <c r="H85" s="92"/>
      <c r="I85" s="92"/>
    </row>
    <row r="86" ht="14.25" customHeight="1">
      <c r="A86" s="93"/>
      <c r="B86" s="93"/>
      <c r="C86" s="93"/>
      <c r="D86" s="93"/>
      <c r="E86" s="93"/>
      <c r="F86" s="93"/>
      <c r="G86" s="93"/>
      <c r="H86" s="94"/>
      <c r="I86" s="93"/>
    </row>
    <row r="87" ht="14.25" customHeight="1">
      <c r="A87" s="95"/>
      <c r="B87" s="93"/>
      <c r="C87" s="93"/>
      <c r="D87" s="93"/>
      <c r="E87" s="97">
        <f>28000*3+72000+100000+68000-41500</f>
        <v>282500</v>
      </c>
      <c r="I87" s="93"/>
    </row>
    <row r="88" ht="14.25" customHeight="1">
      <c r="A88" s="93"/>
      <c r="B88" s="93"/>
      <c r="C88" s="93"/>
      <c r="D88" s="93"/>
      <c r="H88" s="94"/>
      <c r="I88" s="93"/>
    </row>
    <row r="89" ht="14.25" customHeight="1">
      <c r="A89" s="91" t="s">
        <v>137</v>
      </c>
      <c r="B89" s="92"/>
      <c r="C89" s="92"/>
      <c r="D89" s="92"/>
      <c r="E89" s="92"/>
      <c r="F89" s="92"/>
      <c r="G89" s="92"/>
      <c r="H89" s="92"/>
      <c r="I89" s="92"/>
    </row>
    <row r="90" ht="14.25" customHeight="1">
      <c r="A90" s="93" t="s">
        <v>138</v>
      </c>
      <c r="B90" s="92"/>
      <c r="C90" s="92"/>
      <c r="D90" s="92"/>
      <c r="E90" s="92"/>
      <c r="F90" s="92"/>
      <c r="G90" s="92"/>
      <c r="H90" s="92"/>
      <c r="I90" s="92"/>
    </row>
    <row r="91" ht="14.25" customHeight="1">
      <c r="A91" s="81" t="s">
        <v>139</v>
      </c>
      <c r="B91" s="27"/>
      <c r="C91" s="30"/>
      <c r="D91" s="30"/>
      <c r="E91" s="27"/>
      <c r="F91" s="27"/>
      <c r="G91" s="32"/>
      <c r="H91" s="27"/>
      <c r="I91" s="32"/>
    </row>
    <row r="92" ht="14.25" customHeight="1">
      <c r="A92" s="60" t="s">
        <v>140</v>
      </c>
      <c r="B92" s="27"/>
      <c r="C92" s="30"/>
      <c r="D92" s="30"/>
      <c r="E92" s="27"/>
      <c r="F92" s="27"/>
      <c r="G92" s="32"/>
      <c r="H92" s="27"/>
      <c r="I92" s="32"/>
    </row>
    <row r="93" ht="14.25" customHeight="1">
      <c r="A93" s="27"/>
      <c r="B93" s="27"/>
      <c r="C93" s="30"/>
      <c r="D93" s="30"/>
      <c r="E93" s="27"/>
      <c r="F93" s="27"/>
      <c r="G93" s="32"/>
      <c r="H93" s="27"/>
      <c r="I93" s="32"/>
    </row>
    <row r="94" ht="14.25" customHeight="1"/>
    <row r="95" ht="14.25" customHeight="1"/>
    <row r="96" ht="14.25" customHeight="1"/>
    <row r="97" ht="14.25" customHeight="1"/>
    <row r="98" ht="14.25" customHeight="1">
      <c r="A98" s="27" t="s">
        <v>72</v>
      </c>
      <c r="B98" s="33" t="s">
        <v>152</v>
      </c>
      <c r="E98" s="27"/>
      <c r="F98" s="27"/>
      <c r="G98" s="32"/>
      <c r="H98" s="27"/>
      <c r="I98" s="32"/>
    </row>
    <row r="99" ht="14.25" customHeight="1">
      <c r="A99" s="27"/>
      <c r="B99" s="27"/>
      <c r="C99" s="30"/>
      <c r="D99" s="30"/>
      <c r="E99" s="27"/>
      <c r="F99" s="27"/>
      <c r="G99" s="32"/>
      <c r="H99" s="27"/>
      <c r="I99" s="32"/>
    </row>
    <row r="100" ht="14.25" customHeight="1">
      <c r="A100" s="27"/>
      <c r="B100" s="27"/>
      <c r="C100" s="30"/>
      <c r="D100" s="30"/>
      <c r="E100" s="27"/>
      <c r="F100" s="27"/>
      <c r="G100" s="32"/>
      <c r="H100" s="27"/>
      <c r="I100" s="32"/>
    </row>
    <row r="101" ht="14.25" customHeight="1">
      <c r="A101" s="27"/>
      <c r="B101" s="27"/>
      <c r="C101" s="30"/>
      <c r="D101" s="30"/>
      <c r="E101" s="27"/>
      <c r="F101" s="27"/>
      <c r="G101" s="32"/>
      <c r="H101" s="27"/>
      <c r="I101" s="32"/>
    </row>
    <row r="102" ht="14.25" customHeight="1">
      <c r="A102" s="27"/>
      <c r="B102" s="27"/>
      <c r="C102" s="30"/>
      <c r="D102" s="30"/>
      <c r="E102" s="27"/>
      <c r="F102" s="37" t="s">
        <v>92</v>
      </c>
      <c r="G102" s="32"/>
      <c r="H102" s="27"/>
      <c r="I102" s="32"/>
    </row>
    <row r="103" ht="14.25" customHeight="1">
      <c r="A103" s="27"/>
      <c r="B103" s="27"/>
      <c r="C103" s="30"/>
      <c r="D103" s="30"/>
      <c r="E103" s="27"/>
      <c r="F103" s="27" t="s">
        <v>95</v>
      </c>
      <c r="G103" s="32"/>
      <c r="H103" s="27"/>
      <c r="I103" s="39" t="s">
        <v>153</v>
      </c>
    </row>
    <row r="104" ht="14.25" customHeight="1">
      <c r="A104" s="27"/>
      <c r="B104" s="27"/>
      <c r="C104" s="30"/>
      <c r="D104" s="30"/>
      <c r="E104" s="27"/>
      <c r="F104" s="27"/>
      <c r="G104" s="32"/>
      <c r="H104" s="27"/>
      <c r="I104" s="32"/>
    </row>
    <row r="105" ht="14.25" customHeight="1">
      <c r="A105" s="27"/>
      <c r="B105" s="27"/>
      <c r="C105" s="30"/>
      <c r="D105" s="30"/>
      <c r="E105" s="27"/>
      <c r="F105" s="27" t="s">
        <v>101</v>
      </c>
      <c r="G105" s="32"/>
      <c r="H105" s="27"/>
      <c r="I105" s="48">
        <f>TODAY()</f>
        <v>46227</v>
      </c>
    </row>
    <row r="106" ht="14.25" customHeight="1">
      <c r="A106" s="27"/>
      <c r="B106" s="27"/>
      <c r="C106" s="30"/>
      <c r="D106" s="30"/>
      <c r="E106" s="27"/>
      <c r="F106" s="27"/>
      <c r="G106" s="32"/>
      <c r="H106" s="27"/>
      <c r="I106" s="32"/>
    </row>
    <row r="107" ht="14.25" customHeight="1">
      <c r="A107" s="27"/>
      <c r="B107" s="27"/>
      <c r="C107" s="30"/>
      <c r="D107" s="30"/>
      <c r="E107" s="27"/>
      <c r="F107" s="27" t="s">
        <v>102</v>
      </c>
      <c r="G107" s="32"/>
      <c r="H107" s="27"/>
      <c r="I107" s="48">
        <v>44362.0</v>
      </c>
    </row>
    <row r="108" ht="14.25" customHeight="1">
      <c r="A108" s="27"/>
      <c r="B108" s="27"/>
      <c r="C108" s="30"/>
      <c r="D108" s="30"/>
      <c r="E108" s="27"/>
      <c r="F108" s="27"/>
      <c r="G108" s="32"/>
      <c r="H108" s="27"/>
      <c r="I108" s="32"/>
    </row>
    <row r="109" ht="14.25" customHeight="1">
      <c r="A109" s="53" t="s">
        <v>107</v>
      </c>
      <c r="B109" s="55"/>
      <c r="C109" s="55"/>
      <c r="D109" s="57" t="s">
        <v>108</v>
      </c>
      <c r="E109" s="57" t="s">
        <v>109</v>
      </c>
      <c r="F109" s="57" t="s">
        <v>110</v>
      </c>
      <c r="G109" s="58" t="s">
        <v>111</v>
      </c>
      <c r="H109" s="55"/>
      <c r="I109" s="59" t="s">
        <v>112</v>
      </c>
    </row>
    <row r="110" ht="14.25" customHeight="1">
      <c r="A110" s="60"/>
      <c r="B110" s="60"/>
      <c r="C110" s="60"/>
      <c r="D110" s="61"/>
      <c r="E110" s="60"/>
      <c r="F110" s="60"/>
      <c r="G110" s="62"/>
      <c r="H110" s="60"/>
      <c r="I110" s="62"/>
    </row>
    <row r="111" ht="14.25" customHeight="1">
      <c r="A111" s="63" t="s">
        <v>154</v>
      </c>
      <c r="D111" s="104" t="s">
        <v>146</v>
      </c>
      <c r="E111" s="68">
        <v>28000.0</v>
      </c>
      <c r="F111" s="68">
        <v>250000.0</v>
      </c>
      <c r="G111" s="32"/>
      <c r="H111" s="68"/>
      <c r="I111" s="69">
        <f t="shared" ref="I111:I112" si="3">+SUM(A111:H111)</f>
        <v>278000</v>
      </c>
    </row>
    <row r="112" ht="14.25" customHeight="1">
      <c r="A112" s="27" t="s">
        <v>156</v>
      </c>
      <c r="D112" s="104" t="s">
        <v>35</v>
      </c>
      <c r="E112" s="68">
        <v>28000.0</v>
      </c>
      <c r="F112" s="68">
        <v>205000.0</v>
      </c>
      <c r="G112" s="32"/>
      <c r="H112" s="68"/>
      <c r="I112" s="69">
        <f t="shared" si="3"/>
        <v>233000</v>
      </c>
    </row>
    <row r="113" ht="14.25" customHeight="1">
      <c r="A113" s="27"/>
      <c r="D113" s="104"/>
      <c r="E113" s="68"/>
      <c r="F113" s="68"/>
      <c r="G113" s="32"/>
      <c r="H113" s="68"/>
      <c r="I113" s="69"/>
    </row>
    <row r="114" ht="14.25" customHeight="1">
      <c r="A114" s="27"/>
      <c r="D114" s="30"/>
      <c r="E114" s="68"/>
      <c r="F114" s="68"/>
      <c r="G114" s="32"/>
      <c r="H114" s="68"/>
      <c r="I114" s="69"/>
    </row>
    <row r="115" ht="14.25" customHeight="1">
      <c r="A115" s="74"/>
      <c r="D115" s="30"/>
      <c r="E115" s="68"/>
      <c r="F115" s="68"/>
      <c r="G115" s="32"/>
      <c r="H115" s="68"/>
      <c r="I115" s="69"/>
    </row>
    <row r="116" ht="14.25" customHeight="1">
      <c r="A116" s="74"/>
      <c r="D116" s="30"/>
      <c r="E116" s="68"/>
      <c r="F116" s="68"/>
      <c r="G116" s="32"/>
      <c r="H116" s="68"/>
      <c r="I116" s="69"/>
    </row>
    <row r="117" ht="14.25" customHeight="1">
      <c r="A117" s="74"/>
      <c r="D117" s="30"/>
      <c r="E117" s="68"/>
      <c r="F117" s="68"/>
      <c r="G117" s="32"/>
      <c r="H117" s="68"/>
      <c r="I117" s="69"/>
    </row>
    <row r="118" ht="14.25" customHeight="1">
      <c r="A118" s="74"/>
      <c r="D118" s="30"/>
      <c r="E118" s="68"/>
      <c r="F118" s="68"/>
      <c r="G118" s="32"/>
      <c r="H118" s="68"/>
      <c r="I118" s="69"/>
    </row>
    <row r="119" ht="14.25" customHeight="1">
      <c r="A119" s="74"/>
      <c r="D119" s="30"/>
      <c r="E119" s="68"/>
      <c r="F119" s="68"/>
      <c r="G119" s="32"/>
      <c r="H119" s="68"/>
      <c r="I119" s="69"/>
    </row>
    <row r="120" ht="14.25" customHeight="1">
      <c r="A120" s="27"/>
      <c r="B120" s="27"/>
      <c r="C120" s="30"/>
      <c r="D120" s="30"/>
      <c r="E120" s="68"/>
      <c r="F120" s="68"/>
      <c r="G120" s="32"/>
      <c r="H120" s="68"/>
      <c r="I120" s="69"/>
    </row>
    <row r="121" ht="14.25" customHeight="1">
      <c r="A121" s="27"/>
      <c r="B121" s="27"/>
      <c r="C121" s="30"/>
      <c r="D121" s="30"/>
      <c r="E121" s="68"/>
      <c r="F121" s="68"/>
      <c r="G121" s="32"/>
      <c r="H121" s="68"/>
      <c r="I121" s="69"/>
    </row>
    <row r="122" ht="14.25" customHeight="1">
      <c r="A122" s="27"/>
      <c r="B122" s="27"/>
      <c r="C122" s="30"/>
      <c r="D122" s="30"/>
      <c r="E122" s="68"/>
      <c r="F122" s="68"/>
      <c r="G122" s="32"/>
      <c r="H122" s="68"/>
      <c r="I122" s="69"/>
    </row>
    <row r="123" ht="14.25" customHeight="1">
      <c r="A123" s="27"/>
      <c r="B123" s="27"/>
      <c r="C123" s="30"/>
      <c r="D123" s="30"/>
      <c r="E123" s="27"/>
      <c r="F123" s="27"/>
      <c r="G123" s="32" t="s">
        <v>127</v>
      </c>
      <c r="H123" s="27"/>
      <c r="I123" s="69">
        <f>+SUM(I111:I122)</f>
        <v>511000</v>
      </c>
    </row>
    <row r="124" ht="14.25" customHeight="1">
      <c r="A124" s="27"/>
      <c r="B124" s="27"/>
      <c r="C124" s="30"/>
      <c r="D124" s="30"/>
      <c r="E124" s="27"/>
      <c r="F124" s="27"/>
      <c r="G124" s="32"/>
      <c r="H124" s="27"/>
      <c r="I124" s="69"/>
    </row>
    <row r="125" ht="14.25" customHeight="1">
      <c r="A125" s="27"/>
      <c r="B125" s="27"/>
      <c r="C125" s="30"/>
      <c r="D125" s="30"/>
      <c r="E125" s="27"/>
      <c r="F125" s="27"/>
      <c r="G125" s="32" t="s">
        <v>130</v>
      </c>
      <c r="H125" s="27"/>
      <c r="I125" s="69">
        <v>32500.0</v>
      </c>
    </row>
    <row r="126" ht="14.25" customHeight="1">
      <c r="A126" s="27"/>
      <c r="B126" s="27"/>
      <c r="C126" s="30"/>
      <c r="D126" s="30"/>
      <c r="E126" s="27"/>
      <c r="F126" s="27"/>
      <c r="G126" s="32" t="s">
        <v>159</v>
      </c>
      <c r="H126" s="27"/>
      <c r="I126" s="69">
        <v>70000.0</v>
      </c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4.25" customHeight="1">
      <c r="A127" s="27"/>
      <c r="B127" s="27"/>
      <c r="C127" s="30"/>
      <c r="D127" s="30"/>
      <c r="E127" s="27"/>
      <c r="F127" s="27"/>
      <c r="G127" s="32"/>
      <c r="H127" s="27"/>
      <c r="I127" s="69"/>
    </row>
    <row r="128" ht="14.25" customHeight="1">
      <c r="A128" s="27"/>
      <c r="B128" s="27"/>
      <c r="C128" s="30"/>
      <c r="D128" s="30"/>
      <c r="E128" s="27"/>
      <c r="F128" s="85"/>
      <c r="G128" s="88" t="s">
        <v>131</v>
      </c>
      <c r="H128" s="88"/>
      <c r="I128" s="89">
        <f>+I123-I125-I126</f>
        <v>408500</v>
      </c>
    </row>
    <row r="129" ht="14.25" customHeight="1">
      <c r="A129" s="27"/>
      <c r="B129" s="27"/>
      <c r="C129" s="30"/>
      <c r="D129" s="30"/>
      <c r="E129" s="27"/>
      <c r="F129" s="27"/>
      <c r="G129" s="32"/>
      <c r="H129" s="27"/>
      <c r="I129" s="32"/>
    </row>
    <row r="130" ht="14.25" customHeight="1">
      <c r="A130" s="27"/>
      <c r="B130" s="27"/>
      <c r="C130" s="30"/>
      <c r="D130" s="30"/>
      <c r="E130" s="27"/>
      <c r="F130" s="27"/>
      <c r="G130" s="32"/>
      <c r="H130" s="27"/>
      <c r="I130" s="32"/>
    </row>
    <row r="131" ht="14.25" customHeight="1">
      <c r="A131" s="27"/>
      <c r="C131" s="30"/>
      <c r="D131" s="90"/>
      <c r="E131" s="27"/>
    </row>
    <row r="132" ht="14.25" customHeight="1">
      <c r="A132" s="27" t="s">
        <v>133</v>
      </c>
      <c r="C132" s="30"/>
      <c r="D132" s="90">
        <f>+SUM(F111:F122)*0.05</f>
        <v>22750</v>
      </c>
      <c r="E132" s="27" t="s">
        <v>134</v>
      </c>
    </row>
    <row r="133" ht="14.25" customHeight="1">
      <c r="A133" s="27"/>
      <c r="B133" s="27"/>
      <c r="C133" s="30"/>
      <c r="D133" s="30"/>
      <c r="E133" s="27"/>
      <c r="F133" s="27"/>
      <c r="G133" s="32"/>
      <c r="H133" s="27"/>
      <c r="I133" s="32"/>
    </row>
    <row r="134" ht="14.25" customHeight="1">
      <c r="A134" s="91" t="s">
        <v>135</v>
      </c>
      <c r="B134" s="92"/>
      <c r="C134" s="92"/>
      <c r="D134" s="92"/>
      <c r="E134" s="92"/>
      <c r="F134" s="92"/>
      <c r="G134" s="92"/>
      <c r="H134" s="92"/>
      <c r="I134" s="92"/>
    </row>
    <row r="135" ht="14.25" customHeight="1">
      <c r="A135" s="93"/>
      <c r="B135" s="93"/>
      <c r="C135" s="93"/>
      <c r="D135" s="93"/>
      <c r="E135" s="93"/>
      <c r="F135" s="93"/>
      <c r="G135" s="93"/>
      <c r="H135" s="94"/>
      <c r="I135" s="93"/>
    </row>
    <row r="136" ht="14.25" customHeight="1">
      <c r="A136" s="95"/>
      <c r="B136" s="93"/>
      <c r="C136" s="93"/>
      <c r="D136" s="93"/>
      <c r="E136" s="97">
        <f>28000*2+100000+82000-I125</f>
        <v>205500</v>
      </c>
      <c r="I136" s="93"/>
    </row>
    <row r="137" ht="14.25" customHeight="1">
      <c r="A137" s="93"/>
      <c r="B137" s="93"/>
      <c r="C137" s="93"/>
      <c r="D137" s="93"/>
      <c r="H137" s="94"/>
      <c r="I137" s="93"/>
    </row>
    <row r="138" ht="14.25" customHeight="1">
      <c r="A138" s="91" t="s">
        <v>137</v>
      </c>
      <c r="B138" s="92"/>
      <c r="C138" s="92"/>
      <c r="D138" s="92"/>
      <c r="E138" s="92"/>
      <c r="F138" s="92"/>
      <c r="G138" s="92"/>
      <c r="H138" s="92"/>
      <c r="I138" s="92"/>
    </row>
    <row r="139" ht="14.25" customHeight="1">
      <c r="A139" s="93" t="s">
        <v>138</v>
      </c>
      <c r="B139" s="92"/>
      <c r="C139" s="92"/>
      <c r="D139" s="92"/>
      <c r="E139" s="92"/>
      <c r="F139" s="92"/>
      <c r="G139" s="92"/>
      <c r="H139" s="92"/>
      <c r="I139" s="92"/>
    </row>
    <row r="140" ht="14.25" customHeight="1">
      <c r="A140" s="81" t="s">
        <v>139</v>
      </c>
      <c r="B140" s="27"/>
      <c r="C140" s="30"/>
      <c r="D140" s="30"/>
      <c r="E140" s="27"/>
      <c r="F140" s="27"/>
      <c r="G140" s="32"/>
      <c r="H140" s="27"/>
      <c r="I140" s="32"/>
    </row>
    <row r="141" ht="14.25" customHeight="1">
      <c r="A141" s="60" t="s">
        <v>140</v>
      </c>
      <c r="B141" s="27"/>
      <c r="C141" s="30"/>
      <c r="D141" s="30"/>
      <c r="E141" s="27"/>
      <c r="F141" s="27"/>
      <c r="G141" s="32"/>
      <c r="H141" s="27"/>
      <c r="I141" s="32"/>
    </row>
    <row r="142" ht="14.25" customHeight="1">
      <c r="A142" s="27"/>
      <c r="B142" s="27"/>
      <c r="C142" s="30"/>
      <c r="D142" s="30"/>
      <c r="E142" s="27"/>
      <c r="F142" s="27"/>
      <c r="G142" s="32"/>
      <c r="H142" s="27"/>
      <c r="I142" s="32"/>
    </row>
    <row r="143" ht="14.25" customHeight="1"/>
    <row r="144" ht="14.25" customHeight="1"/>
    <row r="145" ht="14.25" customHeight="1">
      <c r="A145" s="30"/>
      <c r="B145" s="30"/>
      <c r="C145" s="30"/>
      <c r="D145" s="30"/>
      <c r="E145" s="30"/>
      <c r="F145" s="30"/>
      <c r="G145" s="30"/>
      <c r="H145" s="30"/>
      <c r="I145" s="30"/>
    </row>
    <row r="146" ht="14.25" customHeight="1">
      <c r="A146" s="30"/>
      <c r="B146" s="30"/>
      <c r="C146" s="30"/>
      <c r="D146" s="30"/>
      <c r="E146" s="30"/>
      <c r="F146" s="30"/>
      <c r="G146" s="30"/>
      <c r="H146" s="30"/>
      <c r="I146" s="30"/>
    </row>
    <row r="147" ht="14.25" customHeight="1">
      <c r="A147" s="27" t="s">
        <v>72</v>
      </c>
      <c r="B147" s="33" t="s">
        <v>162</v>
      </c>
      <c r="E147" s="27"/>
      <c r="F147" s="27"/>
      <c r="G147" s="32"/>
      <c r="H147" s="27"/>
      <c r="I147" s="32"/>
    </row>
    <row r="148" ht="14.25" customHeight="1">
      <c r="A148" s="27"/>
      <c r="B148" s="27"/>
      <c r="C148" s="30"/>
      <c r="D148" s="30"/>
      <c r="E148" s="27"/>
      <c r="F148" s="27"/>
      <c r="G148" s="32"/>
      <c r="H148" s="27"/>
      <c r="I148" s="32"/>
    </row>
    <row r="149" ht="14.25" customHeight="1">
      <c r="A149" s="27"/>
      <c r="B149" s="27"/>
      <c r="C149" s="30"/>
      <c r="D149" s="30"/>
      <c r="E149" s="27"/>
      <c r="F149" s="27"/>
      <c r="G149" s="32"/>
      <c r="H149" s="27"/>
      <c r="I149" s="32"/>
    </row>
    <row r="150" ht="14.25" customHeight="1">
      <c r="A150" s="27"/>
      <c r="B150" s="27"/>
      <c r="C150" s="30"/>
      <c r="D150" s="30"/>
      <c r="E150" s="27"/>
      <c r="F150" s="27"/>
      <c r="G150" s="32"/>
      <c r="H150" s="27"/>
      <c r="I150" s="32"/>
    </row>
    <row r="151" ht="14.25" customHeight="1">
      <c r="A151" s="27"/>
      <c r="B151" s="27"/>
      <c r="C151" s="30"/>
      <c r="D151" s="30"/>
      <c r="E151" s="27"/>
      <c r="F151" s="37" t="s">
        <v>92</v>
      </c>
      <c r="G151" s="32"/>
      <c r="H151" s="27"/>
      <c r="I151" s="32"/>
    </row>
    <row r="152" ht="14.25" customHeight="1">
      <c r="A152" s="27"/>
      <c r="B152" s="27"/>
      <c r="C152" s="30"/>
      <c r="D152" s="30"/>
      <c r="E152" s="27"/>
      <c r="F152" s="27" t="s">
        <v>95</v>
      </c>
      <c r="G152" s="32"/>
      <c r="H152" s="27"/>
      <c r="I152" s="39" t="s">
        <v>153</v>
      </c>
    </row>
    <row r="153" ht="14.25" customHeight="1">
      <c r="A153" s="27"/>
      <c r="B153" s="27"/>
      <c r="C153" s="30"/>
      <c r="D153" s="30"/>
      <c r="E153" s="27"/>
      <c r="F153" s="27"/>
      <c r="G153" s="32"/>
      <c r="H153" s="27"/>
      <c r="I153" s="32"/>
    </row>
    <row r="154" ht="14.25" customHeight="1">
      <c r="A154" s="27"/>
      <c r="B154" s="27"/>
      <c r="C154" s="30"/>
      <c r="D154" s="30"/>
      <c r="E154" s="27"/>
      <c r="F154" s="27" t="s">
        <v>101</v>
      </c>
      <c r="G154" s="32"/>
      <c r="H154" s="27"/>
      <c r="I154" s="48">
        <f>TODAY()</f>
        <v>46227</v>
      </c>
    </row>
    <row r="155" ht="14.25" customHeight="1">
      <c r="A155" s="27"/>
      <c r="B155" s="27"/>
      <c r="C155" s="30"/>
      <c r="D155" s="30"/>
      <c r="E155" s="27"/>
      <c r="F155" s="27"/>
      <c r="G155" s="32"/>
      <c r="H155" s="27"/>
      <c r="I155" s="32"/>
    </row>
    <row r="156" ht="14.25" customHeight="1">
      <c r="A156" s="27"/>
      <c r="B156" s="27"/>
      <c r="C156" s="30"/>
      <c r="D156" s="30"/>
      <c r="E156" s="27"/>
      <c r="F156" s="27" t="s">
        <v>102</v>
      </c>
      <c r="G156" s="32"/>
      <c r="H156" s="27"/>
      <c r="I156" s="48">
        <v>44362.0</v>
      </c>
    </row>
    <row r="157" ht="14.25" customHeight="1">
      <c r="A157" s="27"/>
      <c r="B157" s="27"/>
      <c r="C157" s="30"/>
      <c r="D157" s="30"/>
      <c r="E157" s="27"/>
      <c r="F157" s="27"/>
      <c r="G157" s="32"/>
      <c r="H157" s="27"/>
      <c r="I157" s="32"/>
    </row>
    <row r="158" ht="14.25" customHeight="1">
      <c r="A158" s="53" t="s">
        <v>107</v>
      </c>
      <c r="B158" s="55"/>
      <c r="C158" s="55"/>
      <c r="D158" s="57" t="s">
        <v>108</v>
      </c>
      <c r="E158" s="57" t="s">
        <v>109</v>
      </c>
      <c r="F158" s="57" t="s">
        <v>110</v>
      </c>
      <c r="G158" s="58" t="s">
        <v>111</v>
      </c>
      <c r="H158" s="55"/>
      <c r="I158" s="59" t="s">
        <v>112</v>
      </c>
    </row>
    <row r="159" ht="14.25" customHeight="1">
      <c r="A159" s="60"/>
      <c r="B159" s="60"/>
      <c r="C159" s="60"/>
      <c r="D159" s="61"/>
      <c r="E159" s="60"/>
      <c r="F159" s="60"/>
      <c r="G159" s="62"/>
      <c r="H159" s="60"/>
      <c r="I159" s="62"/>
    </row>
    <row r="160" ht="14.25" customHeight="1">
      <c r="A160" s="63" t="s">
        <v>164</v>
      </c>
      <c r="D160" s="104" t="s">
        <v>35</v>
      </c>
      <c r="E160" s="68">
        <v>28000.0</v>
      </c>
      <c r="F160" s="68">
        <v>205000.0</v>
      </c>
      <c r="G160" s="32" t="s">
        <v>5</v>
      </c>
      <c r="H160" s="68">
        <v>35000.0</v>
      </c>
      <c r="I160" s="69">
        <f t="shared" ref="I160:I161" si="4">+SUM(A160:H160)</f>
        <v>268000</v>
      </c>
    </row>
    <row r="161" ht="14.25" customHeight="1">
      <c r="A161" s="27" t="s">
        <v>165</v>
      </c>
      <c r="D161" s="104" t="s">
        <v>8</v>
      </c>
      <c r="E161" s="68">
        <v>18000.0</v>
      </c>
      <c r="F161" s="68">
        <v>125000.0</v>
      </c>
      <c r="G161" s="32" t="s">
        <v>5</v>
      </c>
      <c r="H161" s="68">
        <v>35000.0</v>
      </c>
      <c r="I161" s="69">
        <f t="shared" si="4"/>
        <v>178000</v>
      </c>
    </row>
    <row r="162" ht="14.25" customHeight="1">
      <c r="A162" s="27"/>
      <c r="D162" s="104"/>
      <c r="E162" s="68"/>
      <c r="F162" s="68"/>
      <c r="G162" s="32"/>
      <c r="H162" s="68"/>
      <c r="I162" s="69"/>
    </row>
    <row r="163" ht="14.25" customHeight="1">
      <c r="A163" s="27"/>
      <c r="D163" s="30"/>
      <c r="E163" s="68"/>
      <c r="F163" s="68"/>
      <c r="G163" s="32"/>
      <c r="H163" s="68"/>
      <c r="I163" s="69"/>
    </row>
    <row r="164" ht="14.25" customHeight="1">
      <c r="A164" s="74"/>
      <c r="D164" s="30"/>
      <c r="E164" s="68"/>
      <c r="F164" s="68"/>
      <c r="G164" s="32"/>
      <c r="H164" s="68"/>
      <c r="I164" s="69"/>
    </row>
    <row r="165" ht="14.25" customHeight="1">
      <c r="A165" s="74"/>
      <c r="D165" s="30"/>
      <c r="E165" s="68"/>
      <c r="F165" s="68"/>
      <c r="G165" s="32"/>
      <c r="H165" s="68"/>
      <c r="I165" s="69"/>
    </row>
    <row r="166" ht="14.25" customHeight="1">
      <c r="A166" s="74"/>
      <c r="D166" s="30"/>
      <c r="E166" s="68"/>
      <c r="F166" s="68"/>
      <c r="G166" s="32"/>
      <c r="H166" s="68"/>
      <c r="I166" s="69"/>
    </row>
    <row r="167" ht="14.25" customHeight="1">
      <c r="A167" s="74"/>
      <c r="D167" s="30"/>
      <c r="E167" s="68"/>
      <c r="F167" s="68"/>
      <c r="G167" s="32"/>
      <c r="H167" s="68"/>
      <c r="I167" s="69"/>
    </row>
    <row r="168" ht="14.25" customHeight="1">
      <c r="A168" s="74"/>
      <c r="D168" s="30"/>
      <c r="E168" s="68"/>
      <c r="F168" s="68"/>
      <c r="G168" s="32"/>
      <c r="H168" s="68"/>
      <c r="I168" s="69"/>
    </row>
    <row r="169" ht="14.25" customHeight="1">
      <c r="A169" s="27"/>
      <c r="B169" s="27"/>
      <c r="C169" s="30"/>
      <c r="D169" s="30"/>
      <c r="E169" s="68"/>
      <c r="F169" s="68"/>
      <c r="G169" s="32"/>
      <c r="H169" s="68"/>
      <c r="I169" s="69"/>
    </row>
    <row r="170" ht="14.25" customHeight="1">
      <c r="A170" s="27"/>
      <c r="B170" s="27"/>
      <c r="C170" s="30"/>
      <c r="D170" s="30"/>
      <c r="E170" s="68"/>
      <c r="F170" s="68"/>
      <c r="G170" s="32"/>
      <c r="H170" s="68"/>
      <c r="I170" s="69"/>
    </row>
    <row r="171" ht="14.25" customHeight="1">
      <c r="A171" s="27"/>
      <c r="B171" s="27"/>
      <c r="C171" s="30"/>
      <c r="D171" s="30"/>
      <c r="E171" s="68"/>
      <c r="F171" s="68"/>
      <c r="G171" s="32"/>
      <c r="H171" s="68"/>
      <c r="I171" s="69"/>
    </row>
    <row r="172" ht="14.25" customHeight="1">
      <c r="A172" s="27"/>
      <c r="B172" s="27"/>
      <c r="C172" s="30"/>
      <c r="D172" s="30"/>
      <c r="E172" s="27"/>
      <c r="F172" s="27"/>
      <c r="G172" s="32" t="s">
        <v>127</v>
      </c>
      <c r="H172" s="27"/>
      <c r="I172" s="69">
        <f>+SUM(I160:I171)</f>
        <v>446000</v>
      </c>
    </row>
    <row r="173" ht="14.25" customHeight="1">
      <c r="A173" s="27"/>
      <c r="B173" s="27"/>
      <c r="C173" s="30"/>
      <c r="D173" s="30"/>
      <c r="E173" s="27"/>
      <c r="F173" s="27"/>
      <c r="G173" s="32"/>
      <c r="H173" s="27"/>
      <c r="I173" s="69"/>
    </row>
    <row r="174" ht="14.25" customHeight="1">
      <c r="A174" s="27"/>
      <c r="B174" s="27"/>
      <c r="C174" s="30"/>
      <c r="D174" s="30"/>
      <c r="E174" s="27"/>
      <c r="F174" s="27"/>
      <c r="G174" s="32" t="s">
        <v>130</v>
      </c>
      <c r="H174" s="27"/>
      <c r="I174" s="69">
        <f>5000+16500</f>
        <v>21500</v>
      </c>
    </row>
    <row r="175" ht="14.25" customHeight="1">
      <c r="A175" s="27"/>
      <c r="B175" s="27"/>
      <c r="C175" s="30"/>
      <c r="D175" s="30"/>
      <c r="E175" s="27"/>
      <c r="F175" s="27"/>
      <c r="G175" s="32" t="s">
        <v>159</v>
      </c>
      <c r="H175" s="27"/>
      <c r="I175" s="69">
        <v>0.0</v>
      </c>
    </row>
    <row r="176" ht="14.25" customHeight="1">
      <c r="A176" s="27"/>
      <c r="B176" s="27"/>
      <c r="C176" s="30"/>
      <c r="D176" s="30"/>
      <c r="E176" s="27"/>
      <c r="F176" s="27"/>
      <c r="G176" s="32"/>
      <c r="H176" s="27"/>
      <c r="I176" s="69"/>
    </row>
    <row r="177" ht="14.25" customHeight="1">
      <c r="A177" s="27"/>
      <c r="B177" s="27"/>
      <c r="C177" s="30"/>
      <c r="D177" s="30"/>
      <c r="E177" s="27"/>
      <c r="F177" s="85"/>
      <c r="G177" s="88" t="s">
        <v>131</v>
      </c>
      <c r="H177" s="88"/>
      <c r="I177" s="89">
        <f>+I172-I174-I175</f>
        <v>424500</v>
      </c>
    </row>
    <row r="178" ht="14.25" customHeight="1">
      <c r="A178" s="27"/>
      <c r="B178" s="27"/>
      <c r="C178" s="30"/>
      <c r="D178" s="30"/>
      <c r="E178" s="27"/>
      <c r="F178" s="27"/>
      <c r="G178" s="32"/>
      <c r="H178" s="27"/>
      <c r="I178" s="32"/>
    </row>
    <row r="179" ht="14.25" customHeight="1">
      <c r="A179" s="27"/>
      <c r="B179" s="27"/>
      <c r="C179" s="30"/>
      <c r="D179" s="30"/>
      <c r="E179" s="27"/>
      <c r="F179" s="27"/>
      <c r="G179" s="32"/>
      <c r="H179" s="27"/>
      <c r="I179" s="32"/>
    </row>
    <row r="180" ht="14.25" customHeight="1">
      <c r="A180" s="27"/>
      <c r="C180" s="30"/>
      <c r="D180" s="90"/>
      <c r="E180" s="27"/>
    </row>
    <row r="181" ht="14.25" customHeight="1">
      <c r="A181" s="27" t="s">
        <v>133</v>
      </c>
      <c r="C181" s="30"/>
      <c r="D181" s="90">
        <f>+SUM(F160:F171)*0.05</f>
        <v>16500</v>
      </c>
      <c r="E181" s="27" t="s">
        <v>134</v>
      </c>
    </row>
    <row r="182" ht="14.25" customHeight="1">
      <c r="A182" s="27"/>
      <c r="B182" s="27"/>
      <c r="C182" s="30"/>
      <c r="D182" s="30"/>
      <c r="E182" s="27"/>
      <c r="F182" s="27"/>
      <c r="G182" s="32"/>
      <c r="H182" s="27"/>
      <c r="I182" s="32"/>
    </row>
    <row r="183" ht="14.25" customHeight="1">
      <c r="A183" s="91" t="s">
        <v>135</v>
      </c>
      <c r="B183" s="92"/>
      <c r="C183" s="92"/>
      <c r="D183" s="92"/>
      <c r="E183" s="92"/>
      <c r="F183" s="92"/>
      <c r="G183" s="92"/>
      <c r="H183" s="92"/>
      <c r="I183" s="92"/>
    </row>
    <row r="184" ht="14.25" customHeight="1">
      <c r="A184" s="93"/>
      <c r="B184" s="93"/>
      <c r="C184" s="93"/>
      <c r="D184" s="93"/>
      <c r="E184" s="93"/>
      <c r="F184" s="93"/>
      <c r="G184" s="93"/>
      <c r="H184" s="94"/>
      <c r="I184" s="93"/>
    </row>
    <row r="185" ht="14.25" customHeight="1">
      <c r="A185" s="95"/>
      <c r="B185" s="93"/>
      <c r="C185" s="93"/>
      <c r="D185" s="93"/>
      <c r="E185" s="97">
        <f>178000-5000</f>
        <v>173000</v>
      </c>
      <c r="I185" s="93"/>
    </row>
    <row r="186" ht="14.25" customHeight="1">
      <c r="A186" s="93"/>
      <c r="B186" s="93"/>
      <c r="C186" s="93"/>
      <c r="D186" s="93"/>
      <c r="H186" s="94"/>
      <c r="I186" s="93"/>
    </row>
    <row r="187" ht="14.25" customHeight="1">
      <c r="A187" s="91" t="s">
        <v>137</v>
      </c>
      <c r="B187" s="92"/>
      <c r="C187" s="92"/>
      <c r="D187" s="92"/>
      <c r="E187" s="92"/>
      <c r="F187" s="92"/>
      <c r="G187" s="92"/>
      <c r="H187" s="92"/>
      <c r="I187" s="92"/>
    </row>
    <row r="188" ht="14.25" customHeight="1">
      <c r="A188" s="93" t="s">
        <v>138</v>
      </c>
      <c r="B188" s="92"/>
      <c r="C188" s="92"/>
      <c r="D188" s="92"/>
      <c r="E188" s="92"/>
      <c r="F188" s="92"/>
      <c r="G188" s="92"/>
      <c r="H188" s="92"/>
      <c r="I188" s="92"/>
    </row>
    <row r="189" ht="14.25" customHeight="1">
      <c r="A189" s="81" t="s">
        <v>139</v>
      </c>
      <c r="B189" s="27"/>
      <c r="C189" s="30"/>
      <c r="D189" s="30"/>
      <c r="E189" s="27"/>
      <c r="F189" s="27"/>
      <c r="G189" s="32"/>
      <c r="H189" s="27"/>
      <c r="I189" s="32"/>
    </row>
    <row r="190" ht="14.25" customHeight="1">
      <c r="A190" s="60" t="s">
        <v>140</v>
      </c>
      <c r="B190" s="27"/>
      <c r="C190" s="30"/>
      <c r="D190" s="30"/>
      <c r="E190" s="27"/>
      <c r="F190" s="27"/>
      <c r="G190" s="32"/>
      <c r="H190" s="27"/>
      <c r="I190" s="32"/>
    </row>
    <row r="191" ht="14.25" customHeight="1">
      <c r="A191" s="27"/>
      <c r="B191" s="27"/>
      <c r="C191" s="30"/>
      <c r="D191" s="30"/>
      <c r="E191" s="27"/>
      <c r="F191" s="27"/>
      <c r="G191" s="32"/>
      <c r="H191" s="27"/>
      <c r="I191" s="32"/>
    </row>
    <row r="192" ht="14.25" customHeight="1">
      <c r="A192" s="30"/>
      <c r="B192" s="30"/>
      <c r="C192" s="30"/>
      <c r="D192" s="30"/>
      <c r="E192" s="30"/>
      <c r="F192" s="30"/>
      <c r="G192" s="30"/>
      <c r="H192" s="30"/>
      <c r="I192" s="30"/>
    </row>
    <row r="193" ht="14.25" customHeight="1">
      <c r="A193" s="30"/>
      <c r="B193" s="30"/>
      <c r="C193" s="30"/>
      <c r="D193" s="30"/>
      <c r="E193" s="30"/>
      <c r="F193" s="30"/>
      <c r="G193" s="30"/>
      <c r="H193" s="30"/>
      <c r="I193" s="30"/>
    </row>
    <row r="194" ht="14.25" customHeight="1">
      <c r="A194" s="30"/>
      <c r="B194" s="30"/>
      <c r="C194" s="30"/>
      <c r="D194" s="30"/>
      <c r="E194" s="30"/>
      <c r="F194" s="30"/>
      <c r="G194" s="30"/>
      <c r="H194" s="30"/>
      <c r="I194" s="30"/>
    </row>
    <row r="195" ht="14.25" customHeight="1">
      <c r="A195" s="27" t="s">
        <v>72</v>
      </c>
      <c r="B195" s="33" t="s">
        <v>169</v>
      </c>
      <c r="E195" s="27"/>
      <c r="F195" s="27"/>
      <c r="G195" s="32"/>
      <c r="H195" s="27"/>
      <c r="I195" s="32"/>
    </row>
    <row r="196" ht="14.25" customHeight="1">
      <c r="A196" s="27"/>
      <c r="B196" s="27"/>
      <c r="C196" s="30"/>
      <c r="D196" s="30"/>
      <c r="E196" s="27"/>
      <c r="F196" s="27"/>
      <c r="G196" s="32"/>
      <c r="H196" s="27"/>
      <c r="I196" s="32"/>
    </row>
    <row r="197" ht="14.25" customHeight="1">
      <c r="A197" s="27"/>
      <c r="B197" s="27"/>
      <c r="C197" s="30"/>
      <c r="D197" s="30"/>
      <c r="E197" s="27"/>
      <c r="F197" s="27"/>
      <c r="G197" s="32"/>
      <c r="H197" s="27"/>
      <c r="I197" s="32"/>
    </row>
    <row r="198" ht="14.25" customHeight="1">
      <c r="A198" s="27"/>
      <c r="B198" s="27"/>
      <c r="C198" s="30"/>
      <c r="D198" s="30"/>
      <c r="E198" s="27"/>
      <c r="F198" s="27"/>
      <c r="G198" s="32"/>
      <c r="H198" s="27"/>
      <c r="I198" s="32"/>
    </row>
    <row r="199" ht="14.25" customHeight="1">
      <c r="A199" s="27"/>
      <c r="B199" s="27"/>
      <c r="C199" s="30"/>
      <c r="D199" s="30"/>
      <c r="E199" s="27"/>
      <c r="F199" s="37" t="s">
        <v>92</v>
      </c>
      <c r="G199" s="32"/>
      <c r="H199" s="27"/>
      <c r="I199" s="32"/>
    </row>
    <row r="200" ht="14.25" customHeight="1">
      <c r="A200" s="27"/>
      <c r="B200" s="27"/>
      <c r="C200" s="30"/>
      <c r="D200" s="30"/>
      <c r="E200" s="27"/>
      <c r="F200" s="27" t="s">
        <v>95</v>
      </c>
      <c r="G200" s="32"/>
      <c r="H200" s="27"/>
      <c r="I200" s="39" t="s">
        <v>173</v>
      </c>
    </row>
    <row r="201" ht="14.25" customHeight="1">
      <c r="A201" s="27"/>
      <c r="B201" s="27"/>
      <c r="C201" s="30"/>
      <c r="D201" s="30"/>
      <c r="E201" s="27"/>
      <c r="F201" s="27"/>
      <c r="G201" s="32"/>
      <c r="H201" s="27"/>
      <c r="I201" s="32"/>
    </row>
    <row r="202" ht="14.25" customHeight="1">
      <c r="A202" s="27"/>
      <c r="B202" s="27"/>
      <c r="C202" s="30"/>
      <c r="D202" s="30"/>
      <c r="E202" s="27"/>
      <c r="F202" s="27" t="s">
        <v>101</v>
      </c>
      <c r="G202" s="32"/>
      <c r="H202" s="27"/>
      <c r="I202" s="48">
        <f>TODAY()</f>
        <v>46227</v>
      </c>
    </row>
    <row r="203" ht="14.25" customHeight="1">
      <c r="A203" s="27"/>
      <c r="B203" s="27"/>
      <c r="C203" s="30"/>
      <c r="D203" s="30"/>
      <c r="E203" s="27"/>
      <c r="F203" s="27"/>
      <c r="G203" s="32"/>
      <c r="H203" s="27"/>
      <c r="I203" s="32"/>
    </row>
    <row r="204" ht="14.25" customHeight="1">
      <c r="A204" s="27"/>
      <c r="B204" s="27"/>
      <c r="C204" s="30"/>
      <c r="D204" s="30"/>
      <c r="E204" s="27"/>
      <c r="F204" s="27" t="s">
        <v>102</v>
      </c>
      <c r="G204" s="32"/>
      <c r="H204" s="27"/>
      <c r="I204" s="48" t="s">
        <v>174</v>
      </c>
    </row>
    <row r="205" ht="14.25" customHeight="1">
      <c r="A205" s="27"/>
      <c r="B205" s="27"/>
      <c r="C205" s="30"/>
      <c r="D205" s="30"/>
      <c r="E205" s="27"/>
      <c r="F205" s="27"/>
      <c r="G205" s="32"/>
      <c r="H205" s="27"/>
      <c r="I205" s="32"/>
    </row>
    <row r="206" ht="14.25" customHeight="1">
      <c r="A206" s="53" t="s">
        <v>107</v>
      </c>
      <c r="B206" s="55"/>
      <c r="C206" s="55"/>
      <c r="D206" s="57" t="s">
        <v>108</v>
      </c>
      <c r="E206" s="57" t="s">
        <v>109</v>
      </c>
      <c r="F206" s="57" t="s">
        <v>110</v>
      </c>
      <c r="G206" s="58" t="s">
        <v>111</v>
      </c>
      <c r="H206" s="55"/>
      <c r="I206" s="59" t="s">
        <v>112</v>
      </c>
    </row>
    <row r="207" ht="14.25" customHeight="1">
      <c r="A207" s="60"/>
      <c r="B207" s="60"/>
      <c r="C207" s="60"/>
      <c r="D207" s="61"/>
      <c r="E207" s="60"/>
      <c r="F207" s="60"/>
      <c r="G207" s="62"/>
      <c r="H207" s="60"/>
      <c r="I207" s="62"/>
    </row>
    <row r="208" ht="14.25" customHeight="1">
      <c r="A208" s="63" t="s">
        <v>176</v>
      </c>
      <c r="D208" s="104" t="s">
        <v>46</v>
      </c>
      <c r="E208" s="68">
        <v>20000.0</v>
      </c>
      <c r="F208" s="68">
        <v>248000.0</v>
      </c>
      <c r="G208" s="32" t="s">
        <v>10</v>
      </c>
      <c r="H208" s="68"/>
      <c r="I208" s="69">
        <f t="shared" ref="I208:I210" si="5">+SUM(A208:H208)</f>
        <v>268000</v>
      </c>
    </row>
    <row r="209" ht="14.25" customHeight="1">
      <c r="A209" s="27" t="s">
        <v>177</v>
      </c>
      <c r="D209" s="104" t="s">
        <v>178</v>
      </c>
      <c r="E209" s="68">
        <v>33000.0</v>
      </c>
      <c r="F209" s="68">
        <v>285000.0</v>
      </c>
      <c r="G209" s="32" t="s">
        <v>10</v>
      </c>
      <c r="H209" s="68"/>
      <c r="I209" s="69">
        <f t="shared" si="5"/>
        <v>318000</v>
      </c>
    </row>
    <row r="210" ht="14.25" customHeight="1">
      <c r="A210" s="27" t="s">
        <v>179</v>
      </c>
      <c r="D210" s="104" t="s">
        <v>27</v>
      </c>
      <c r="E210" s="68">
        <v>18000.0</v>
      </c>
      <c r="F210" s="68">
        <v>220000.0</v>
      </c>
      <c r="G210" s="32" t="s">
        <v>10</v>
      </c>
      <c r="H210" s="68"/>
      <c r="I210" s="69">
        <f t="shared" si="5"/>
        <v>238000</v>
      </c>
    </row>
    <row r="211" ht="14.25" customHeight="1">
      <c r="A211" s="27"/>
      <c r="D211" s="30"/>
      <c r="E211" s="68"/>
      <c r="F211" s="68"/>
      <c r="G211" s="32"/>
      <c r="H211" s="68"/>
      <c r="I211" s="69"/>
    </row>
    <row r="212" ht="14.25" customHeight="1">
      <c r="A212" s="74"/>
      <c r="D212" s="30"/>
      <c r="E212" s="68"/>
      <c r="F212" s="68"/>
      <c r="G212" s="32"/>
      <c r="H212" s="68"/>
      <c r="I212" s="69"/>
    </row>
    <row r="213" ht="14.25" customHeight="1">
      <c r="A213" s="74"/>
      <c r="D213" s="30"/>
      <c r="E213" s="68"/>
      <c r="F213" s="68"/>
      <c r="G213" s="32"/>
      <c r="H213" s="68"/>
      <c r="I213" s="69"/>
    </row>
    <row r="214" ht="14.25" customHeight="1">
      <c r="A214" s="74"/>
      <c r="D214" s="30"/>
      <c r="E214" s="68"/>
      <c r="F214" s="68"/>
      <c r="G214" s="32"/>
      <c r="H214" s="68"/>
      <c r="I214" s="69"/>
    </row>
    <row r="215" ht="14.25" customHeight="1">
      <c r="A215" s="74"/>
      <c r="D215" s="30"/>
      <c r="E215" s="68"/>
      <c r="F215" s="68"/>
      <c r="G215" s="32"/>
      <c r="H215" s="68"/>
      <c r="I215" s="69"/>
    </row>
    <row r="216" ht="14.25" customHeight="1">
      <c r="A216" s="74"/>
      <c r="D216" s="30"/>
      <c r="E216" s="68"/>
      <c r="F216" s="68"/>
      <c r="G216" s="32"/>
      <c r="H216" s="68"/>
      <c r="I216" s="69"/>
    </row>
    <row r="217" ht="14.25" customHeight="1">
      <c r="A217" s="27"/>
      <c r="B217" s="27"/>
      <c r="C217" s="30"/>
      <c r="D217" s="30"/>
      <c r="E217" s="68"/>
      <c r="F217" s="68"/>
      <c r="G217" s="32"/>
      <c r="H217" s="68"/>
      <c r="I217" s="69"/>
    </row>
    <row r="218" ht="14.25" customHeight="1">
      <c r="A218" s="27"/>
      <c r="B218" s="27"/>
      <c r="C218" s="30"/>
      <c r="D218" s="30"/>
      <c r="E218" s="68"/>
      <c r="F218" s="68"/>
      <c r="G218" s="32"/>
      <c r="H218" s="68"/>
      <c r="I218" s="69"/>
    </row>
    <row r="219" ht="14.25" customHeight="1">
      <c r="A219" s="27"/>
      <c r="B219" s="27"/>
      <c r="C219" s="30"/>
      <c r="D219" s="30"/>
      <c r="E219" s="68"/>
      <c r="F219" s="68"/>
      <c r="G219" s="32"/>
      <c r="H219" s="68"/>
      <c r="I219" s="69"/>
    </row>
    <row r="220" ht="14.25" customHeight="1">
      <c r="A220" s="27"/>
      <c r="B220" s="27"/>
      <c r="C220" s="30"/>
      <c r="D220" s="30"/>
      <c r="E220" s="27"/>
      <c r="F220" s="27"/>
      <c r="G220" s="32" t="s">
        <v>127</v>
      </c>
      <c r="H220" s="27"/>
      <c r="I220" s="69">
        <f>+SUM(I208:I219)</f>
        <v>824000</v>
      </c>
    </row>
    <row r="221" ht="14.25" customHeight="1">
      <c r="A221" s="27"/>
      <c r="B221" s="27"/>
      <c r="C221" s="30"/>
      <c r="D221" s="30"/>
      <c r="E221" s="27"/>
      <c r="F221" s="27"/>
      <c r="G221" s="32"/>
      <c r="H221" s="27"/>
      <c r="I221" s="69"/>
    </row>
    <row r="222" ht="14.25" customHeight="1">
      <c r="A222" s="27"/>
      <c r="B222" s="27"/>
      <c r="C222" s="30"/>
      <c r="D222" s="30"/>
      <c r="E222" s="27"/>
      <c r="F222" s="27"/>
      <c r="G222" s="32" t="s">
        <v>130</v>
      </c>
      <c r="H222" s="27"/>
      <c r="I222" s="69">
        <f>14250+10000</f>
        <v>24250</v>
      </c>
    </row>
    <row r="223" ht="14.25" customHeight="1">
      <c r="A223" s="27"/>
      <c r="B223" s="27"/>
      <c r="C223" s="30"/>
      <c r="D223" s="30"/>
      <c r="E223" s="27"/>
      <c r="F223" s="27"/>
      <c r="G223" s="32"/>
      <c r="H223" s="27"/>
      <c r="I223" s="69"/>
    </row>
    <row r="224" ht="14.25" customHeight="1">
      <c r="A224" s="27"/>
      <c r="B224" s="27"/>
      <c r="C224" s="30"/>
      <c r="D224" s="30"/>
      <c r="E224" s="27"/>
      <c r="F224" s="27"/>
      <c r="G224" s="32"/>
      <c r="H224" s="27"/>
      <c r="I224" s="69"/>
    </row>
    <row r="225" ht="14.25" customHeight="1">
      <c r="A225" s="27"/>
      <c r="B225" s="27"/>
      <c r="C225" s="30"/>
      <c r="D225" s="30"/>
      <c r="E225" s="27"/>
      <c r="F225" s="85"/>
      <c r="G225" s="88" t="s">
        <v>131</v>
      </c>
      <c r="H225" s="88"/>
      <c r="I225" s="89">
        <f>+I220-I222-I223</f>
        <v>799750</v>
      </c>
    </row>
    <row r="226" ht="14.25" customHeight="1">
      <c r="A226" s="27"/>
      <c r="B226" s="27"/>
      <c r="C226" s="30"/>
      <c r="D226" s="30"/>
      <c r="E226" s="27"/>
      <c r="F226" s="27"/>
      <c r="G226" s="32"/>
      <c r="H226" s="27"/>
      <c r="I226" s="32"/>
    </row>
    <row r="227" ht="14.25" customHeight="1">
      <c r="A227" s="27"/>
      <c r="B227" s="27"/>
      <c r="C227" s="30"/>
      <c r="D227" s="30"/>
      <c r="E227" s="27"/>
      <c r="F227" s="27"/>
      <c r="G227" s="32"/>
      <c r="H227" s="27"/>
      <c r="I227" s="32"/>
    </row>
    <row r="228" ht="14.25" customHeight="1">
      <c r="A228" s="27"/>
      <c r="C228" s="30"/>
      <c r="D228" s="90"/>
      <c r="E228" s="27"/>
    </row>
    <row r="229" ht="14.25" customHeight="1">
      <c r="A229" s="27" t="s">
        <v>133</v>
      </c>
      <c r="C229" s="30"/>
      <c r="D229" s="90">
        <f>+SUM(F208:F219)*0.05</f>
        <v>37650</v>
      </c>
      <c r="E229" s="27" t="s">
        <v>134</v>
      </c>
    </row>
    <row r="230" ht="14.25" customHeight="1">
      <c r="A230" s="27"/>
      <c r="B230" s="27"/>
      <c r="C230" s="30"/>
      <c r="D230" s="30"/>
      <c r="E230" s="27"/>
      <c r="F230" s="27"/>
      <c r="G230" s="32"/>
      <c r="H230" s="27"/>
      <c r="I230" s="32"/>
    </row>
    <row r="231" ht="14.25" customHeight="1">
      <c r="A231" s="91" t="s">
        <v>135</v>
      </c>
      <c r="B231" s="92"/>
      <c r="C231" s="92"/>
      <c r="D231" s="92"/>
      <c r="E231" s="92"/>
      <c r="F231" s="92"/>
      <c r="G231" s="92"/>
      <c r="H231" s="92"/>
      <c r="I231" s="92"/>
    </row>
    <row r="232" ht="14.25" customHeight="1">
      <c r="A232" s="93"/>
      <c r="B232" s="93"/>
      <c r="C232" s="93"/>
      <c r="D232" s="93"/>
      <c r="E232" s="93"/>
      <c r="F232" s="93"/>
      <c r="G232" s="93"/>
      <c r="H232" s="94"/>
      <c r="I232" s="93"/>
    </row>
    <row r="233" ht="14.25" customHeight="1">
      <c r="A233" s="95"/>
      <c r="B233" s="93"/>
      <c r="C233" s="93"/>
      <c r="D233" s="93"/>
      <c r="E233" s="97">
        <f>18000+79000+12000+20000+91200+8000+33000+114000-I222</f>
        <v>350950</v>
      </c>
      <c r="I233" s="93"/>
    </row>
    <row r="234" ht="14.25" customHeight="1">
      <c r="A234" s="93"/>
      <c r="B234" s="93"/>
      <c r="C234" s="93"/>
      <c r="D234" s="93"/>
      <c r="H234" s="94"/>
      <c r="I234" s="93"/>
    </row>
    <row r="235" ht="14.25" customHeight="1">
      <c r="A235" s="91" t="s">
        <v>137</v>
      </c>
      <c r="B235" s="92"/>
      <c r="C235" s="92"/>
      <c r="D235" s="92"/>
      <c r="E235" s="92"/>
      <c r="F235" s="92"/>
      <c r="G235" s="92"/>
      <c r="H235" s="92"/>
      <c r="I235" s="92"/>
    </row>
    <row r="236" ht="14.25" customHeight="1">
      <c r="A236" s="93" t="s">
        <v>138</v>
      </c>
      <c r="B236" s="92"/>
      <c r="C236" s="92"/>
      <c r="D236" s="92"/>
      <c r="E236" s="92"/>
      <c r="F236" s="92"/>
      <c r="G236" s="92"/>
      <c r="H236" s="92"/>
      <c r="I236" s="92"/>
    </row>
    <row r="237" ht="14.25" customHeight="1">
      <c r="A237" s="81" t="s">
        <v>139</v>
      </c>
      <c r="B237" s="27"/>
      <c r="C237" s="30"/>
      <c r="D237" s="30"/>
      <c r="E237" s="27"/>
      <c r="F237" s="27"/>
      <c r="G237" s="32"/>
      <c r="H237" s="27"/>
      <c r="I237" s="32"/>
    </row>
    <row r="238" ht="14.25" customHeight="1">
      <c r="A238" s="60" t="s">
        <v>140</v>
      </c>
      <c r="B238" s="27"/>
      <c r="C238" s="30"/>
      <c r="D238" s="30"/>
      <c r="E238" s="27"/>
      <c r="F238" s="27"/>
      <c r="G238" s="32"/>
      <c r="H238" s="27"/>
      <c r="I238" s="32"/>
    </row>
    <row r="239" ht="14.25" customHeight="1">
      <c r="A239" s="27"/>
      <c r="B239" s="27"/>
      <c r="C239" s="30"/>
      <c r="D239" s="30"/>
      <c r="E239" s="27"/>
      <c r="F239" s="27"/>
      <c r="G239" s="32"/>
      <c r="H239" s="27"/>
      <c r="I239" s="32"/>
    </row>
    <row r="240" ht="14.25" customHeight="1"/>
    <row r="241" ht="14.25" customHeight="1"/>
    <row r="242" ht="14.25" customHeight="1"/>
    <row r="243" ht="14.25" customHeight="1">
      <c r="A243" s="30"/>
      <c r="B243" s="30"/>
      <c r="C243" s="30"/>
      <c r="D243" s="30"/>
      <c r="E243" s="30"/>
      <c r="F243" s="30"/>
      <c r="G243" s="30"/>
      <c r="H243" s="30"/>
      <c r="I243" s="30"/>
    </row>
    <row r="244" ht="14.25" customHeight="1">
      <c r="A244" s="30"/>
      <c r="B244" s="30"/>
      <c r="C244" s="30"/>
      <c r="D244" s="30"/>
      <c r="E244" s="30"/>
      <c r="F244" s="30"/>
      <c r="G244" s="30"/>
      <c r="H244" s="30"/>
      <c r="I244" s="30"/>
    </row>
    <row r="245" ht="14.25" customHeight="1">
      <c r="A245" s="27" t="s">
        <v>72</v>
      </c>
      <c r="B245" s="33" t="s">
        <v>183</v>
      </c>
      <c r="E245" s="27"/>
      <c r="F245" s="27"/>
      <c r="G245" s="32"/>
      <c r="H245" s="27"/>
      <c r="I245" s="32"/>
    </row>
    <row r="246" ht="14.25" customHeight="1">
      <c r="A246" s="27"/>
      <c r="B246" s="27"/>
      <c r="C246" s="30"/>
      <c r="D246" s="30"/>
      <c r="E246" s="27"/>
      <c r="F246" s="27"/>
      <c r="G246" s="32"/>
      <c r="H246" s="27"/>
      <c r="I246" s="32"/>
    </row>
    <row r="247" ht="14.25" customHeight="1">
      <c r="A247" s="27"/>
      <c r="B247" s="27"/>
      <c r="C247" s="30"/>
      <c r="D247" s="30"/>
      <c r="E247" s="27"/>
      <c r="F247" s="27"/>
      <c r="G247" s="32"/>
      <c r="H247" s="27"/>
      <c r="I247" s="32"/>
    </row>
    <row r="248" ht="14.25" customHeight="1">
      <c r="A248" s="27"/>
      <c r="B248" s="27"/>
      <c r="C248" s="30"/>
      <c r="D248" s="30"/>
      <c r="E248" s="27"/>
      <c r="F248" s="27"/>
      <c r="G248" s="32"/>
      <c r="H248" s="27"/>
      <c r="I248" s="32"/>
    </row>
    <row r="249" ht="14.25" customHeight="1">
      <c r="A249" s="27"/>
      <c r="B249" s="27"/>
      <c r="C249" s="30"/>
      <c r="D249" s="30"/>
      <c r="E249" s="27"/>
      <c r="F249" s="37" t="s">
        <v>92</v>
      </c>
      <c r="G249" s="32"/>
      <c r="H249" s="27"/>
      <c r="I249" s="32"/>
    </row>
    <row r="250" ht="14.25" customHeight="1">
      <c r="A250" s="27"/>
      <c r="B250" s="27"/>
      <c r="C250" s="30"/>
      <c r="D250" s="30"/>
      <c r="E250" s="27"/>
      <c r="F250" s="27" t="s">
        <v>95</v>
      </c>
      <c r="G250" s="32"/>
      <c r="H250" s="27"/>
      <c r="I250" s="39" t="s">
        <v>173</v>
      </c>
    </row>
    <row r="251" ht="14.25" customHeight="1">
      <c r="A251" s="27"/>
      <c r="B251" s="27"/>
      <c r="C251" s="30"/>
      <c r="D251" s="30"/>
      <c r="E251" s="27"/>
      <c r="F251" s="27"/>
      <c r="G251" s="32"/>
      <c r="H251" s="27"/>
      <c r="I251" s="32"/>
    </row>
    <row r="252" ht="14.25" customHeight="1">
      <c r="A252" s="27"/>
      <c r="B252" s="27"/>
      <c r="C252" s="30"/>
      <c r="D252" s="30"/>
      <c r="E252" s="27"/>
      <c r="F252" s="27" t="s">
        <v>101</v>
      </c>
      <c r="G252" s="32"/>
      <c r="H252" s="27"/>
      <c r="I252" s="48">
        <f>TODAY()</f>
        <v>46227</v>
      </c>
    </row>
    <row r="253" ht="14.25" customHeight="1">
      <c r="A253" s="27"/>
      <c r="B253" s="27"/>
      <c r="C253" s="30"/>
      <c r="D253" s="30"/>
      <c r="E253" s="27"/>
      <c r="F253" s="27"/>
      <c r="G253" s="32"/>
      <c r="H253" s="27"/>
      <c r="I253" s="32"/>
    </row>
    <row r="254" ht="14.25" customHeight="1">
      <c r="A254" s="27"/>
      <c r="B254" s="27"/>
      <c r="C254" s="30"/>
      <c r="D254" s="30"/>
      <c r="E254" s="27"/>
      <c r="F254" s="27" t="s">
        <v>102</v>
      </c>
      <c r="G254" s="32"/>
      <c r="H254" s="27"/>
      <c r="I254" s="48" t="s">
        <v>174</v>
      </c>
    </row>
    <row r="255" ht="14.25" customHeight="1">
      <c r="A255" s="27"/>
      <c r="B255" s="27"/>
      <c r="C255" s="30"/>
      <c r="D255" s="30"/>
      <c r="E255" s="27"/>
      <c r="F255" s="27"/>
      <c r="G255" s="32"/>
      <c r="H255" s="27"/>
      <c r="I255" s="32"/>
    </row>
    <row r="256" ht="14.25" customHeight="1">
      <c r="A256" s="53" t="s">
        <v>107</v>
      </c>
      <c r="B256" s="55"/>
      <c r="C256" s="55"/>
      <c r="D256" s="57" t="s">
        <v>108</v>
      </c>
      <c r="E256" s="57" t="s">
        <v>109</v>
      </c>
      <c r="F256" s="57" t="s">
        <v>110</v>
      </c>
      <c r="G256" s="58" t="s">
        <v>111</v>
      </c>
      <c r="H256" s="55"/>
      <c r="I256" s="59" t="s">
        <v>112</v>
      </c>
    </row>
    <row r="257" ht="14.25" customHeight="1">
      <c r="A257" s="60"/>
      <c r="B257" s="60"/>
      <c r="C257" s="60"/>
      <c r="D257" s="61"/>
      <c r="E257" s="60"/>
      <c r="F257" s="60"/>
      <c r="G257" s="62"/>
      <c r="H257" s="60"/>
      <c r="I257" s="62"/>
    </row>
    <row r="258" ht="14.25" customHeight="1">
      <c r="A258" s="63" t="s">
        <v>185</v>
      </c>
      <c r="D258" s="104" t="s">
        <v>66</v>
      </c>
      <c r="E258" s="68">
        <v>33000.0</v>
      </c>
      <c r="F258" s="68">
        <v>320000.0</v>
      </c>
      <c r="G258" s="32"/>
      <c r="H258" s="68"/>
      <c r="I258" s="69">
        <f t="shared" ref="I258:I260" si="6">+SUM(A258:H258)</f>
        <v>353000</v>
      </c>
    </row>
    <row r="259" ht="14.25" customHeight="1">
      <c r="A259" s="27" t="s">
        <v>186</v>
      </c>
      <c r="D259" s="104" t="s">
        <v>178</v>
      </c>
      <c r="E259" s="68">
        <v>33000.0</v>
      </c>
      <c r="F259" s="68">
        <v>285000.0</v>
      </c>
      <c r="G259" s="32"/>
      <c r="H259" s="68"/>
      <c r="I259" s="69">
        <f t="shared" si="6"/>
        <v>318000</v>
      </c>
    </row>
    <row r="260" ht="14.25" customHeight="1">
      <c r="A260" s="27" t="s">
        <v>187</v>
      </c>
      <c r="D260" s="104" t="s">
        <v>146</v>
      </c>
      <c r="E260" s="68">
        <v>18000.0</v>
      </c>
      <c r="F260" s="68">
        <v>280000.0</v>
      </c>
      <c r="G260" s="32"/>
      <c r="H260" s="68"/>
      <c r="I260" s="69">
        <f t="shared" si="6"/>
        <v>298000</v>
      </c>
    </row>
    <row r="261" ht="14.25" customHeight="1">
      <c r="A261" s="27"/>
      <c r="D261" s="30"/>
      <c r="E261" s="68"/>
      <c r="F261" s="68"/>
      <c r="G261" s="32"/>
      <c r="H261" s="68"/>
      <c r="I261" s="69"/>
    </row>
    <row r="262" ht="14.25" customHeight="1">
      <c r="A262" s="74"/>
      <c r="D262" s="30"/>
      <c r="E262" s="68"/>
      <c r="F262" s="68"/>
      <c r="G262" s="32"/>
      <c r="H262" s="68"/>
      <c r="I262" s="69"/>
    </row>
    <row r="263" ht="14.25" customHeight="1">
      <c r="A263" s="74"/>
      <c r="D263" s="30"/>
      <c r="E263" s="68"/>
      <c r="F263" s="68"/>
      <c r="G263" s="32"/>
      <c r="H263" s="68"/>
      <c r="I263" s="69"/>
    </row>
    <row r="264" ht="14.25" customHeight="1">
      <c r="A264" s="74"/>
      <c r="D264" s="30"/>
      <c r="E264" s="68"/>
      <c r="F264" s="68"/>
      <c r="G264" s="32"/>
      <c r="H264" s="68"/>
      <c r="I264" s="69"/>
    </row>
    <row r="265" ht="14.25" customHeight="1">
      <c r="A265" s="74"/>
      <c r="D265" s="30"/>
      <c r="E265" s="68"/>
      <c r="F265" s="68"/>
      <c r="G265" s="32"/>
      <c r="H265" s="68"/>
      <c r="I265" s="69"/>
    </row>
    <row r="266" ht="14.25" customHeight="1">
      <c r="A266" s="74"/>
      <c r="D266" s="30"/>
      <c r="E266" s="68"/>
      <c r="F266" s="68"/>
      <c r="G266" s="32"/>
      <c r="H266" s="68"/>
      <c r="I266" s="69"/>
    </row>
    <row r="267" ht="14.25" customHeight="1">
      <c r="A267" s="27"/>
      <c r="B267" s="27"/>
      <c r="C267" s="30"/>
      <c r="D267" s="30"/>
      <c r="E267" s="68"/>
      <c r="F267" s="68"/>
      <c r="G267" s="32"/>
      <c r="H267" s="68"/>
      <c r="I267" s="69"/>
    </row>
    <row r="268" ht="14.25" customHeight="1">
      <c r="A268" s="27"/>
      <c r="B268" s="27"/>
      <c r="C268" s="30"/>
      <c r="D268" s="30"/>
      <c r="E268" s="68"/>
      <c r="F268" s="68"/>
      <c r="G268" s="32"/>
      <c r="H268" s="68"/>
      <c r="I268" s="69"/>
    </row>
    <row r="269" ht="14.25" customHeight="1">
      <c r="A269" s="27"/>
      <c r="B269" s="27"/>
      <c r="C269" s="30"/>
      <c r="D269" s="30"/>
      <c r="E269" s="68"/>
      <c r="F269" s="68"/>
      <c r="G269" s="32"/>
      <c r="H269" s="68"/>
      <c r="I269" s="69"/>
    </row>
    <row r="270" ht="14.25" customHeight="1">
      <c r="A270" s="27"/>
      <c r="B270" s="27"/>
      <c r="C270" s="30"/>
      <c r="D270" s="30"/>
      <c r="E270" s="27"/>
      <c r="F270" s="27"/>
      <c r="G270" s="32" t="s">
        <v>127</v>
      </c>
      <c r="H270" s="27"/>
      <c r="I270" s="69">
        <f>+SUM(I258:I269)</f>
        <v>969000</v>
      </c>
    </row>
    <row r="271" ht="14.25" customHeight="1">
      <c r="A271" s="27"/>
      <c r="B271" s="27"/>
      <c r="C271" s="30"/>
      <c r="D271" s="30"/>
      <c r="E271" s="27"/>
      <c r="F271" s="27"/>
      <c r="G271" s="32"/>
      <c r="H271" s="27"/>
      <c r="I271" s="69"/>
    </row>
    <row r="272" ht="14.25" customHeight="1">
      <c r="A272" s="27"/>
      <c r="B272" s="27"/>
      <c r="C272" s="30"/>
      <c r="D272" s="30"/>
      <c r="E272" s="27"/>
      <c r="F272" s="27"/>
      <c r="G272" s="32" t="s">
        <v>130</v>
      </c>
      <c r="H272" s="27"/>
      <c r="I272" s="69">
        <v>10000.0</v>
      </c>
    </row>
    <row r="273" ht="14.25" customHeight="1">
      <c r="A273" s="27"/>
      <c r="B273" s="27"/>
      <c r="C273" s="30"/>
      <c r="D273" s="30"/>
      <c r="E273" s="27"/>
      <c r="F273" s="27"/>
      <c r="G273" s="32"/>
      <c r="H273" s="27"/>
      <c r="I273" s="69"/>
    </row>
    <row r="274" ht="14.25" customHeight="1">
      <c r="A274" s="27"/>
      <c r="B274" s="27"/>
      <c r="C274" s="30"/>
      <c r="D274" s="30"/>
      <c r="E274" s="27"/>
      <c r="F274" s="27"/>
      <c r="G274" s="32"/>
      <c r="H274" s="27"/>
      <c r="I274" s="69"/>
    </row>
    <row r="275" ht="14.25" customHeight="1">
      <c r="A275" s="27"/>
      <c r="B275" s="27"/>
      <c r="C275" s="30"/>
      <c r="D275" s="30"/>
      <c r="E275" s="27"/>
      <c r="F275" s="85"/>
      <c r="G275" s="88" t="s">
        <v>131</v>
      </c>
      <c r="H275" s="88"/>
      <c r="I275" s="89">
        <f>+I270-I272-I273</f>
        <v>959000</v>
      </c>
    </row>
    <row r="276" ht="14.25" customHeight="1">
      <c r="A276" s="27"/>
      <c r="B276" s="27"/>
      <c r="C276" s="30"/>
      <c r="D276" s="30"/>
      <c r="E276" s="27"/>
      <c r="F276" s="27"/>
      <c r="G276" s="32"/>
      <c r="H276" s="27"/>
      <c r="I276" s="32"/>
    </row>
    <row r="277" ht="14.25" customHeight="1">
      <c r="A277" s="27"/>
      <c r="B277" s="27"/>
      <c r="C277" s="30"/>
      <c r="D277" s="30"/>
      <c r="E277" s="27"/>
      <c r="F277" s="27"/>
      <c r="G277" s="32"/>
      <c r="H277" s="27"/>
      <c r="I277" s="32"/>
    </row>
    <row r="278" ht="14.25" customHeight="1">
      <c r="A278" s="27"/>
      <c r="C278" s="30"/>
      <c r="D278" s="90"/>
      <c r="E278" s="27"/>
    </row>
    <row r="279" ht="14.25" customHeight="1">
      <c r="A279" s="27" t="s">
        <v>133</v>
      </c>
      <c r="C279" s="30"/>
      <c r="D279" s="90">
        <f>+SUM(F258:F269)*0.05</f>
        <v>44250</v>
      </c>
      <c r="E279" s="27" t="s">
        <v>134</v>
      </c>
    </row>
    <row r="280" ht="14.25" customHeight="1">
      <c r="A280" s="27"/>
      <c r="B280" s="27"/>
      <c r="C280" s="30"/>
      <c r="D280" s="30"/>
      <c r="E280" s="27"/>
      <c r="F280" s="27"/>
      <c r="G280" s="32"/>
      <c r="H280" s="27"/>
      <c r="I280" s="32"/>
    </row>
    <row r="281" ht="14.25" customHeight="1">
      <c r="A281" s="91" t="s">
        <v>135</v>
      </c>
      <c r="B281" s="92"/>
      <c r="C281" s="92"/>
      <c r="D281" s="92"/>
      <c r="E281" s="92"/>
      <c r="F281" s="92"/>
      <c r="G281" s="92"/>
      <c r="H281" s="92"/>
      <c r="I281" s="92"/>
    </row>
    <row r="282" ht="14.25" customHeight="1">
      <c r="A282" s="93"/>
      <c r="B282" s="93"/>
      <c r="C282" s="93"/>
      <c r="D282" s="93"/>
      <c r="E282" s="93"/>
      <c r="F282" s="93"/>
      <c r="G282" s="93"/>
      <c r="H282" s="94"/>
      <c r="I282" s="93"/>
    </row>
    <row r="283" ht="14.25" customHeight="1">
      <c r="A283" s="95"/>
      <c r="B283" s="93"/>
      <c r="C283" s="93"/>
      <c r="D283" s="93"/>
      <c r="E283" s="109">
        <f>18000+112000+33000+114000+33000+128000-I272</f>
        <v>428000</v>
      </c>
      <c r="F283" s="110"/>
      <c r="G283" s="110"/>
      <c r="I283" s="93"/>
    </row>
    <row r="284" ht="14.25" customHeight="1">
      <c r="A284" s="93"/>
      <c r="B284" s="93"/>
      <c r="C284" s="93"/>
      <c r="D284" s="93"/>
      <c r="E284" s="111"/>
      <c r="H284" s="94"/>
      <c r="I284" s="93"/>
    </row>
    <row r="285" ht="14.25" customHeight="1">
      <c r="A285" s="91" t="s">
        <v>137</v>
      </c>
      <c r="B285" s="92"/>
      <c r="C285" s="92"/>
      <c r="D285" s="92"/>
      <c r="E285" s="92"/>
      <c r="F285" s="92"/>
      <c r="G285" s="92"/>
      <c r="H285" s="92"/>
      <c r="I285" s="92"/>
    </row>
    <row r="286" ht="14.25" customHeight="1">
      <c r="A286" s="93" t="s">
        <v>138</v>
      </c>
      <c r="B286" s="92"/>
      <c r="C286" s="92"/>
      <c r="D286" s="92"/>
      <c r="E286" s="92"/>
      <c r="F286" s="92"/>
      <c r="G286" s="92"/>
      <c r="H286" s="92"/>
      <c r="I286" s="92"/>
    </row>
    <row r="287" ht="14.25" customHeight="1">
      <c r="A287" s="81" t="s">
        <v>139</v>
      </c>
      <c r="B287" s="27"/>
      <c r="C287" s="30"/>
      <c r="D287" s="30"/>
      <c r="E287" s="27"/>
      <c r="F287" s="27"/>
      <c r="G287" s="32"/>
      <c r="H287" s="27"/>
      <c r="I287" s="32"/>
    </row>
    <row r="288" ht="14.25" customHeight="1">
      <c r="A288" s="60" t="s">
        <v>140</v>
      </c>
      <c r="B288" s="27"/>
      <c r="C288" s="30"/>
      <c r="D288" s="30"/>
      <c r="E288" s="27"/>
      <c r="F288" s="27"/>
      <c r="G288" s="32"/>
      <c r="H288" s="27"/>
      <c r="I288" s="32"/>
    </row>
    <row r="289" ht="14.25" customHeight="1">
      <c r="A289" s="27"/>
      <c r="B289" s="27"/>
      <c r="C289" s="30"/>
      <c r="D289" s="30"/>
      <c r="E289" s="27"/>
      <c r="F289" s="27"/>
      <c r="G289" s="32"/>
      <c r="H289" s="27"/>
      <c r="I289" s="32"/>
    </row>
    <row r="290" ht="14.25" customHeight="1">
      <c r="A290" s="30"/>
      <c r="B290" s="30"/>
      <c r="C290" s="30"/>
      <c r="D290" s="30"/>
      <c r="E290" s="30"/>
      <c r="F290" s="30"/>
      <c r="G290" s="30"/>
      <c r="H290" s="30"/>
      <c r="I290" s="30"/>
    </row>
    <row r="291" ht="14.25" customHeight="1">
      <c r="A291" s="27" t="s">
        <v>72</v>
      </c>
      <c r="B291" s="33" t="s">
        <v>193</v>
      </c>
      <c r="E291" s="27"/>
      <c r="F291" s="27"/>
      <c r="G291" s="32"/>
      <c r="H291" s="27"/>
      <c r="I291" s="32"/>
    </row>
    <row r="292" ht="14.25" customHeight="1">
      <c r="A292" s="27"/>
      <c r="B292" s="27"/>
      <c r="C292" s="30"/>
      <c r="D292" s="30"/>
      <c r="E292" s="27"/>
      <c r="F292" s="27"/>
      <c r="G292" s="32"/>
      <c r="H292" s="27"/>
      <c r="I292" s="32"/>
    </row>
    <row r="293" ht="14.25" customHeight="1">
      <c r="A293" s="27"/>
      <c r="B293" s="27"/>
      <c r="C293" s="30"/>
      <c r="D293" s="30"/>
      <c r="E293" s="27"/>
      <c r="F293" s="27"/>
      <c r="G293" s="32"/>
      <c r="H293" s="27"/>
      <c r="I293" s="32"/>
    </row>
    <row r="294" ht="14.25" customHeight="1">
      <c r="A294" s="27"/>
      <c r="B294" s="27"/>
      <c r="C294" s="30"/>
      <c r="D294" s="30"/>
      <c r="E294" s="27"/>
      <c r="F294" s="27"/>
      <c r="G294" s="32"/>
      <c r="H294" s="27"/>
      <c r="I294" s="32"/>
    </row>
    <row r="295" ht="14.25" customHeight="1">
      <c r="A295" s="27"/>
      <c r="B295" s="27"/>
      <c r="C295" s="30"/>
      <c r="D295" s="30"/>
      <c r="E295" s="27"/>
      <c r="F295" s="37" t="s">
        <v>92</v>
      </c>
      <c r="G295" s="32"/>
      <c r="H295" s="27"/>
      <c r="I295" s="32"/>
    </row>
    <row r="296" ht="14.25" customHeight="1">
      <c r="A296" s="27"/>
      <c r="B296" s="27"/>
      <c r="C296" s="30"/>
      <c r="D296" s="30"/>
      <c r="E296" s="27"/>
      <c r="F296" s="27" t="s">
        <v>95</v>
      </c>
      <c r="G296" s="32"/>
      <c r="H296" s="27"/>
      <c r="I296" s="39" t="s">
        <v>195</v>
      </c>
    </row>
    <row r="297" ht="14.25" customHeight="1">
      <c r="A297" s="27"/>
      <c r="B297" s="27"/>
      <c r="C297" s="30"/>
      <c r="D297" s="30"/>
      <c r="E297" s="27"/>
      <c r="F297" s="27"/>
      <c r="G297" s="32"/>
      <c r="H297" s="27"/>
      <c r="I297" s="32"/>
    </row>
    <row r="298" ht="14.25" customHeight="1">
      <c r="A298" s="27"/>
      <c r="B298" s="27"/>
      <c r="C298" s="30"/>
      <c r="D298" s="30"/>
      <c r="E298" s="27"/>
      <c r="F298" s="27" t="s">
        <v>101</v>
      </c>
      <c r="G298" s="32"/>
      <c r="H298" s="27"/>
      <c r="I298" s="48">
        <f>TODAY()</f>
        <v>46227</v>
      </c>
    </row>
    <row r="299" ht="14.25" customHeight="1">
      <c r="A299" s="27"/>
      <c r="B299" s="27"/>
      <c r="C299" s="30"/>
      <c r="D299" s="30"/>
      <c r="E299" s="27"/>
      <c r="F299" s="27"/>
      <c r="G299" s="32"/>
      <c r="H299" s="27"/>
      <c r="I299" s="32"/>
    </row>
    <row r="300" ht="14.25" customHeight="1">
      <c r="A300" s="27"/>
      <c r="B300" s="27"/>
      <c r="C300" s="30"/>
      <c r="D300" s="30"/>
      <c r="E300" s="27"/>
      <c r="F300" s="27" t="s">
        <v>102</v>
      </c>
      <c r="G300" s="32"/>
      <c r="H300" s="27"/>
      <c r="I300" s="48" t="s">
        <v>174</v>
      </c>
    </row>
    <row r="301" ht="14.25" customHeight="1">
      <c r="A301" s="27"/>
      <c r="B301" s="27"/>
      <c r="C301" s="30"/>
      <c r="D301" s="30"/>
      <c r="E301" s="27"/>
      <c r="F301" s="27"/>
      <c r="G301" s="32"/>
      <c r="H301" s="27"/>
      <c r="I301" s="32"/>
    </row>
    <row r="302" ht="14.25" customHeight="1">
      <c r="A302" s="53" t="s">
        <v>107</v>
      </c>
      <c r="B302" s="55"/>
      <c r="C302" s="55"/>
      <c r="D302" s="57" t="s">
        <v>108</v>
      </c>
      <c r="E302" s="57" t="s">
        <v>109</v>
      </c>
      <c r="F302" s="57" t="s">
        <v>110</v>
      </c>
      <c r="G302" s="58" t="s">
        <v>111</v>
      </c>
      <c r="H302" s="55"/>
      <c r="I302" s="59" t="s">
        <v>112</v>
      </c>
    </row>
    <row r="303" ht="14.25" customHeight="1">
      <c r="A303" s="60"/>
      <c r="B303" s="60"/>
      <c r="C303" s="60"/>
      <c r="D303" s="61"/>
      <c r="E303" s="60"/>
      <c r="F303" s="60"/>
      <c r="G303" s="62"/>
      <c r="H303" s="60"/>
      <c r="I303" s="62"/>
    </row>
    <row r="304" ht="14.25" customHeight="1">
      <c r="A304" s="63" t="s">
        <v>199</v>
      </c>
      <c r="D304" s="104" t="s">
        <v>35</v>
      </c>
      <c r="E304" s="68">
        <v>18000.0</v>
      </c>
      <c r="F304" s="68">
        <v>230000.0</v>
      </c>
      <c r="G304" s="32"/>
      <c r="H304" s="68"/>
      <c r="I304" s="69">
        <f>+SUM(A304:H304)</f>
        <v>248000</v>
      </c>
    </row>
    <row r="305" ht="14.25" customHeight="1">
      <c r="A305" s="27"/>
      <c r="D305" s="104"/>
      <c r="E305" s="68"/>
      <c r="F305" s="68"/>
      <c r="G305" s="32"/>
      <c r="H305" s="68"/>
      <c r="I305" s="69"/>
    </row>
    <row r="306" ht="14.25" customHeight="1">
      <c r="A306" s="27"/>
      <c r="D306" s="104"/>
      <c r="E306" s="68"/>
      <c r="F306" s="68"/>
      <c r="G306" s="32"/>
      <c r="H306" s="68"/>
      <c r="I306" s="69"/>
    </row>
    <row r="307" ht="14.25" customHeight="1">
      <c r="A307" s="27"/>
      <c r="D307" s="30"/>
      <c r="E307" s="68"/>
      <c r="F307" s="68"/>
      <c r="G307" s="32"/>
      <c r="H307" s="68"/>
      <c r="I307" s="69"/>
    </row>
    <row r="308" ht="14.25" customHeight="1">
      <c r="A308" s="74"/>
      <c r="D308" s="30"/>
      <c r="E308" s="68"/>
      <c r="F308" s="68"/>
      <c r="G308" s="32"/>
      <c r="H308" s="68"/>
      <c r="I308" s="69"/>
    </row>
    <row r="309" ht="14.25" customHeight="1">
      <c r="A309" s="74"/>
      <c r="D309" s="30"/>
      <c r="E309" s="68"/>
      <c r="F309" s="68"/>
      <c r="G309" s="32"/>
      <c r="H309" s="68"/>
      <c r="I309" s="69"/>
    </row>
    <row r="310" ht="14.25" customHeight="1">
      <c r="A310" s="74"/>
      <c r="D310" s="30"/>
      <c r="E310" s="68"/>
      <c r="F310" s="68"/>
      <c r="G310" s="32"/>
      <c r="H310" s="68"/>
      <c r="I310" s="69"/>
    </row>
    <row r="311" ht="14.25" customHeight="1">
      <c r="A311" s="74"/>
      <c r="D311" s="30"/>
      <c r="E311" s="68"/>
      <c r="F311" s="68"/>
      <c r="G311" s="32"/>
      <c r="H311" s="68"/>
      <c r="I311" s="69"/>
    </row>
    <row r="312" ht="14.25" customHeight="1">
      <c r="A312" s="74"/>
      <c r="D312" s="30"/>
      <c r="E312" s="68"/>
      <c r="F312" s="68"/>
      <c r="G312" s="32"/>
      <c r="H312" s="68"/>
      <c r="I312" s="69"/>
    </row>
    <row r="313" ht="14.25" customHeight="1">
      <c r="A313" s="27"/>
      <c r="B313" s="27"/>
      <c r="C313" s="30"/>
      <c r="D313" s="30"/>
      <c r="E313" s="68"/>
      <c r="F313" s="68"/>
      <c r="G313" s="32"/>
      <c r="H313" s="68"/>
      <c r="I313" s="69"/>
    </row>
    <row r="314" ht="14.25" customHeight="1">
      <c r="A314" s="27"/>
      <c r="B314" s="27"/>
      <c r="C314" s="30"/>
      <c r="D314" s="30"/>
      <c r="E314" s="68"/>
      <c r="F314" s="68"/>
      <c r="G314" s="32"/>
      <c r="H314" s="68"/>
      <c r="I314" s="69"/>
    </row>
    <row r="315" ht="14.25" customHeight="1">
      <c r="A315" s="27"/>
      <c r="B315" s="27"/>
      <c r="C315" s="30"/>
      <c r="D315" s="30"/>
      <c r="E315" s="68"/>
      <c r="F315" s="68"/>
      <c r="G315" s="32"/>
      <c r="H315" s="68"/>
      <c r="I315" s="69"/>
    </row>
    <row r="316" ht="14.25" customHeight="1">
      <c r="A316" s="27"/>
      <c r="B316" s="27"/>
      <c r="C316" s="30"/>
      <c r="D316" s="30"/>
      <c r="E316" s="27"/>
      <c r="F316" s="27"/>
      <c r="G316" s="32" t="s">
        <v>127</v>
      </c>
      <c r="H316" s="27"/>
      <c r="I316" s="69">
        <f>+SUM(I304:I315)</f>
        <v>248000</v>
      </c>
    </row>
    <row r="317" ht="14.25" customHeight="1">
      <c r="A317" s="27"/>
      <c r="B317" s="27"/>
      <c r="C317" s="30"/>
      <c r="D317" s="30"/>
      <c r="E317" s="27"/>
      <c r="F317" s="27"/>
      <c r="G317" s="32"/>
      <c r="H317" s="27"/>
      <c r="I317" s="69"/>
    </row>
    <row r="318" ht="14.25" customHeight="1">
      <c r="A318" s="27"/>
      <c r="B318" s="27"/>
      <c r="C318" s="30"/>
      <c r="D318" s="30"/>
      <c r="E318" s="27"/>
      <c r="F318" s="27"/>
      <c r="G318" s="32" t="s">
        <v>202</v>
      </c>
      <c r="H318" s="27"/>
      <c r="I318" s="69">
        <v>0.0</v>
      </c>
    </row>
    <row r="319" ht="14.25" customHeight="1">
      <c r="A319" s="27"/>
      <c r="B319" s="27"/>
      <c r="C319" s="30"/>
      <c r="D319" s="30"/>
      <c r="E319" s="27"/>
      <c r="F319" s="27"/>
      <c r="G319" s="32"/>
      <c r="H319" s="27"/>
      <c r="I319" s="69"/>
    </row>
    <row r="320" ht="14.25" customHeight="1">
      <c r="A320" s="27"/>
      <c r="B320" s="27"/>
      <c r="C320" s="30"/>
      <c r="D320" s="30"/>
      <c r="E320" s="27"/>
      <c r="F320" s="27"/>
      <c r="G320" s="32"/>
      <c r="H320" s="27"/>
      <c r="I320" s="69"/>
    </row>
    <row r="321" ht="14.25" customHeight="1">
      <c r="A321" s="27"/>
      <c r="B321" s="27"/>
      <c r="C321" s="30"/>
      <c r="D321" s="30"/>
      <c r="E321" s="27"/>
      <c r="F321" s="85"/>
      <c r="G321" s="88" t="s">
        <v>131</v>
      </c>
      <c r="H321" s="88"/>
      <c r="I321" s="89">
        <f>+I316-I318-I319</f>
        <v>248000</v>
      </c>
    </row>
    <row r="322" ht="14.25" customHeight="1">
      <c r="A322" s="27"/>
      <c r="B322" s="27"/>
      <c r="C322" s="30"/>
      <c r="D322" s="30"/>
      <c r="E322" s="27"/>
      <c r="F322" s="27"/>
      <c r="G322" s="32"/>
      <c r="H322" s="27"/>
      <c r="I322" s="32"/>
    </row>
    <row r="323" ht="14.25" customHeight="1">
      <c r="A323" s="27"/>
      <c r="B323" s="27"/>
      <c r="C323" s="30"/>
      <c r="D323" s="30"/>
      <c r="E323" s="27"/>
      <c r="F323" s="27"/>
      <c r="G323" s="32"/>
      <c r="H323" s="27"/>
      <c r="I323" s="32"/>
    </row>
    <row r="324" ht="14.25" customHeight="1">
      <c r="A324" s="27"/>
      <c r="C324" s="30"/>
      <c r="D324" s="90"/>
      <c r="E324" s="27"/>
    </row>
    <row r="325" ht="14.25" customHeight="1">
      <c r="A325" s="27" t="s">
        <v>133</v>
      </c>
      <c r="C325" s="30"/>
      <c r="D325" s="90">
        <f>+SUM(F304:F315)*0.05</f>
        <v>11500</v>
      </c>
      <c r="E325" s="27" t="s">
        <v>134</v>
      </c>
    </row>
    <row r="326" ht="14.25" customHeight="1">
      <c r="A326" s="27"/>
      <c r="B326" s="27"/>
      <c r="C326" s="30"/>
      <c r="D326" s="30"/>
      <c r="E326" s="27"/>
      <c r="F326" s="27"/>
      <c r="G326" s="32"/>
      <c r="H326" s="27"/>
      <c r="I326" s="32"/>
    </row>
    <row r="327" ht="14.25" customHeight="1">
      <c r="A327" s="91" t="s">
        <v>135</v>
      </c>
      <c r="B327" s="92"/>
      <c r="C327" s="92"/>
      <c r="D327" s="92"/>
      <c r="E327" s="92"/>
      <c r="F327" s="92"/>
      <c r="G327" s="92"/>
      <c r="H327" s="92"/>
      <c r="I327" s="92"/>
    </row>
    <row r="328" ht="14.25" customHeight="1">
      <c r="A328" s="93"/>
      <c r="B328" s="93"/>
      <c r="C328" s="93"/>
      <c r="D328" s="93"/>
      <c r="E328" s="93"/>
      <c r="F328" s="93"/>
      <c r="G328" s="93"/>
      <c r="H328" s="94"/>
      <c r="I328" s="93"/>
    </row>
    <row r="329" ht="14.25" customHeight="1">
      <c r="A329" s="95"/>
      <c r="B329" s="93"/>
      <c r="C329" s="93"/>
      <c r="D329" s="93"/>
      <c r="E329" s="109">
        <f>18000+80000+12000</f>
        <v>110000</v>
      </c>
      <c r="F329" s="110"/>
      <c r="G329" s="110"/>
      <c r="I329" s="93"/>
    </row>
    <row r="330" ht="14.25" customHeight="1">
      <c r="A330" s="93"/>
      <c r="B330" s="93"/>
      <c r="C330" s="93"/>
      <c r="D330" s="93"/>
      <c r="E330" s="111"/>
      <c r="H330" s="94"/>
      <c r="I330" s="93"/>
    </row>
    <row r="331" ht="14.25" customHeight="1">
      <c r="A331" s="91" t="s">
        <v>137</v>
      </c>
      <c r="B331" s="92"/>
      <c r="C331" s="92"/>
      <c r="D331" s="92"/>
      <c r="E331" s="92"/>
      <c r="F331" s="92"/>
      <c r="G331" s="92"/>
      <c r="H331" s="92"/>
      <c r="I331" s="92"/>
    </row>
    <row r="332" ht="14.25" customHeight="1">
      <c r="A332" s="93" t="s">
        <v>138</v>
      </c>
      <c r="B332" s="92"/>
      <c r="C332" s="92"/>
      <c r="D332" s="92"/>
      <c r="E332" s="92"/>
      <c r="F332" s="92"/>
      <c r="G332" s="92"/>
      <c r="H332" s="92"/>
      <c r="I332" s="92"/>
    </row>
    <row r="333" ht="14.25" customHeight="1">
      <c r="A333" s="81" t="s">
        <v>139</v>
      </c>
      <c r="B333" s="27"/>
      <c r="C333" s="30"/>
      <c r="D333" s="30"/>
      <c r="E333" s="27"/>
      <c r="F333" s="27"/>
      <c r="G333" s="32"/>
      <c r="H333" s="27"/>
      <c r="I333" s="32"/>
    </row>
    <row r="334" ht="14.25" customHeight="1">
      <c r="A334" s="60" t="s">
        <v>140</v>
      </c>
      <c r="B334" s="27"/>
      <c r="C334" s="30"/>
      <c r="D334" s="30"/>
      <c r="E334" s="27"/>
      <c r="F334" s="27"/>
      <c r="G334" s="32"/>
      <c r="H334" s="27"/>
      <c r="I334" s="32"/>
    </row>
    <row r="335" ht="14.25" customHeight="1"/>
    <row r="336" ht="14.25" customHeight="1"/>
    <row r="337" ht="14.25" customHeight="1"/>
    <row r="338" ht="14.25" customHeight="1"/>
    <row r="339" ht="14.25" customHeight="1">
      <c r="A339" s="30"/>
      <c r="B339" s="30"/>
      <c r="C339" s="30"/>
      <c r="D339" s="30"/>
      <c r="E339" s="30"/>
      <c r="F339" s="30"/>
      <c r="G339" s="30"/>
      <c r="H339" s="30"/>
      <c r="I339" s="30"/>
    </row>
    <row r="340" ht="14.25" customHeight="1">
      <c r="A340" s="27" t="s">
        <v>72</v>
      </c>
      <c r="B340" s="33" t="s">
        <v>205</v>
      </c>
      <c r="E340" s="27"/>
      <c r="F340" s="27"/>
      <c r="G340" s="32"/>
      <c r="H340" s="27"/>
      <c r="I340" s="32"/>
    </row>
    <row r="341" ht="14.25" customHeight="1">
      <c r="A341" s="27"/>
      <c r="B341" s="27"/>
      <c r="C341" s="30"/>
      <c r="D341" s="30"/>
      <c r="E341" s="27"/>
      <c r="F341" s="27"/>
      <c r="G341" s="32"/>
      <c r="H341" s="27"/>
      <c r="I341" s="32"/>
    </row>
    <row r="342" ht="14.25" customHeight="1">
      <c r="A342" s="27"/>
      <c r="B342" s="27"/>
      <c r="C342" s="30"/>
      <c r="D342" s="30"/>
      <c r="E342" s="27"/>
      <c r="F342" s="27"/>
      <c r="G342" s="32"/>
      <c r="H342" s="27"/>
      <c r="I342" s="32"/>
    </row>
    <row r="343" ht="14.25" customHeight="1">
      <c r="A343" s="27"/>
      <c r="B343" s="27"/>
      <c r="C343" s="30"/>
      <c r="D343" s="30"/>
      <c r="E343" s="27"/>
      <c r="F343" s="27"/>
      <c r="G343" s="32"/>
      <c r="H343" s="27"/>
      <c r="I343" s="32"/>
    </row>
    <row r="344" ht="14.25" customHeight="1">
      <c r="A344" s="27"/>
      <c r="B344" s="27"/>
      <c r="C344" s="30"/>
      <c r="D344" s="30"/>
      <c r="E344" s="27"/>
      <c r="F344" s="37" t="s">
        <v>92</v>
      </c>
      <c r="G344" s="32"/>
      <c r="H344" s="27"/>
      <c r="I344" s="32"/>
    </row>
    <row r="345" ht="14.25" customHeight="1">
      <c r="A345" s="27"/>
      <c r="B345" s="27"/>
      <c r="C345" s="30"/>
      <c r="D345" s="30"/>
      <c r="E345" s="27"/>
      <c r="F345" s="27" t="s">
        <v>95</v>
      </c>
      <c r="G345" s="32"/>
      <c r="H345" s="27"/>
      <c r="I345" s="39" t="s">
        <v>207</v>
      </c>
    </row>
    <row r="346" ht="14.25" customHeight="1">
      <c r="A346" s="27"/>
      <c r="B346" s="27"/>
      <c r="C346" s="30"/>
      <c r="D346" s="30"/>
      <c r="E346" s="27"/>
      <c r="F346" s="27"/>
      <c r="G346" s="32"/>
      <c r="H346" s="27"/>
      <c r="I346" s="32"/>
    </row>
    <row r="347" ht="14.25" customHeight="1">
      <c r="A347" s="27"/>
      <c r="B347" s="27"/>
      <c r="C347" s="30"/>
      <c r="D347" s="30"/>
      <c r="E347" s="27"/>
      <c r="F347" s="27" t="s">
        <v>101</v>
      </c>
      <c r="G347" s="32"/>
      <c r="H347" s="27"/>
      <c r="I347" s="48">
        <f>TODAY()</f>
        <v>46227</v>
      </c>
    </row>
    <row r="348" ht="14.25" customHeight="1">
      <c r="A348" s="27"/>
      <c r="B348" s="27"/>
      <c r="C348" s="30"/>
      <c r="D348" s="30"/>
      <c r="E348" s="27"/>
      <c r="F348" s="27"/>
      <c r="G348" s="32"/>
      <c r="H348" s="27"/>
      <c r="I348" s="32"/>
    </row>
    <row r="349" ht="14.25" customHeight="1">
      <c r="A349" s="27"/>
      <c r="B349" s="27"/>
      <c r="C349" s="30"/>
      <c r="D349" s="30"/>
      <c r="E349" s="27"/>
      <c r="F349" s="27"/>
      <c r="G349" s="32"/>
      <c r="H349" s="27"/>
      <c r="I349" s="48"/>
    </row>
    <row r="350" ht="14.25" customHeight="1">
      <c r="A350" s="27"/>
      <c r="B350" s="27"/>
      <c r="C350" s="30"/>
      <c r="D350" s="30"/>
      <c r="E350" s="27"/>
      <c r="F350" s="27"/>
      <c r="G350" s="32"/>
      <c r="H350" s="27"/>
      <c r="I350" s="32"/>
    </row>
    <row r="351" ht="14.25" customHeight="1">
      <c r="A351" s="53" t="s">
        <v>107</v>
      </c>
      <c r="B351" s="55"/>
      <c r="C351" s="55"/>
      <c r="D351" s="57" t="s">
        <v>108</v>
      </c>
      <c r="E351" s="57" t="s">
        <v>109</v>
      </c>
      <c r="F351" s="57" t="s">
        <v>110</v>
      </c>
      <c r="G351" s="58" t="s">
        <v>111</v>
      </c>
      <c r="H351" s="55"/>
      <c r="I351" s="59" t="s">
        <v>112</v>
      </c>
    </row>
    <row r="352" ht="14.25" customHeight="1">
      <c r="A352" s="60"/>
      <c r="B352" s="60"/>
      <c r="C352" s="60"/>
      <c r="D352" s="61"/>
      <c r="E352" s="60"/>
      <c r="F352" s="60"/>
      <c r="G352" s="62"/>
      <c r="H352" s="60"/>
      <c r="I352" s="62"/>
    </row>
    <row r="353" ht="14.25" customHeight="1">
      <c r="A353" s="63" t="s">
        <v>208</v>
      </c>
      <c r="D353" s="104" t="s">
        <v>209</v>
      </c>
      <c r="E353" s="68">
        <v>18000.0</v>
      </c>
      <c r="F353" s="68">
        <v>230000.0</v>
      </c>
      <c r="G353" s="32"/>
      <c r="H353" s="68"/>
      <c r="I353" s="69">
        <f>+SUM(A353:H353)</f>
        <v>248000</v>
      </c>
    </row>
    <row r="354" ht="14.25" customHeight="1">
      <c r="A354" s="27" t="s">
        <v>210</v>
      </c>
      <c r="D354" s="104"/>
      <c r="E354" s="68"/>
      <c r="F354" s="68"/>
      <c r="G354" s="32"/>
      <c r="H354" s="68"/>
      <c r="I354" s="69"/>
    </row>
    <row r="355" ht="14.25" customHeight="1">
      <c r="A355" s="27"/>
      <c r="D355" s="104"/>
      <c r="E355" s="68"/>
      <c r="F355" s="68"/>
      <c r="G355" s="32"/>
      <c r="H355" s="68"/>
      <c r="I355" s="69"/>
    </row>
    <row r="356" ht="14.25" customHeight="1">
      <c r="A356" s="27"/>
      <c r="D356" s="30"/>
      <c r="E356" s="68"/>
      <c r="F356" s="68"/>
      <c r="G356" s="32"/>
      <c r="H356" s="68"/>
      <c r="I356" s="69"/>
    </row>
    <row r="357" ht="14.25" customHeight="1">
      <c r="A357" s="74"/>
      <c r="D357" s="30"/>
      <c r="E357" s="68"/>
      <c r="F357" s="68"/>
      <c r="G357" s="32"/>
      <c r="H357" s="68"/>
      <c r="I357" s="69"/>
    </row>
    <row r="358" ht="14.25" customHeight="1">
      <c r="A358" s="74"/>
      <c r="D358" s="30"/>
      <c r="E358" s="68"/>
      <c r="F358" s="68"/>
      <c r="G358" s="32"/>
      <c r="H358" s="68"/>
      <c r="I358" s="69"/>
    </row>
    <row r="359" ht="14.25" customHeight="1">
      <c r="A359" s="74"/>
      <c r="D359" s="30"/>
      <c r="E359" s="68"/>
      <c r="F359" s="68"/>
      <c r="G359" s="32"/>
      <c r="H359" s="68"/>
      <c r="I359" s="69"/>
    </row>
    <row r="360" ht="14.25" customHeight="1">
      <c r="A360" s="74"/>
      <c r="D360" s="30"/>
      <c r="E360" s="68"/>
      <c r="F360" s="68"/>
      <c r="G360" s="32"/>
      <c r="H360" s="68"/>
      <c r="I360" s="69"/>
    </row>
    <row r="361" ht="14.25" customHeight="1">
      <c r="A361" s="74"/>
      <c r="D361" s="30"/>
      <c r="E361" s="68"/>
      <c r="F361" s="68"/>
      <c r="G361" s="32"/>
      <c r="H361" s="68"/>
      <c r="I361" s="69"/>
    </row>
    <row r="362" ht="14.25" customHeight="1">
      <c r="A362" s="27"/>
      <c r="B362" s="27"/>
      <c r="C362" s="30"/>
      <c r="D362" s="30"/>
      <c r="E362" s="68"/>
      <c r="F362" s="68"/>
      <c r="G362" s="32"/>
      <c r="H362" s="68"/>
      <c r="I362" s="69"/>
    </row>
    <row r="363" ht="14.25" customHeight="1">
      <c r="A363" s="27"/>
      <c r="B363" s="27"/>
      <c r="C363" s="30"/>
      <c r="D363" s="30"/>
      <c r="E363" s="68"/>
      <c r="F363" s="68"/>
      <c r="G363" s="32"/>
      <c r="H363" s="68"/>
      <c r="I363" s="69"/>
    </row>
    <row r="364" ht="14.25" customHeight="1">
      <c r="A364" s="27"/>
      <c r="B364" s="27"/>
      <c r="C364" s="30"/>
      <c r="D364" s="30"/>
      <c r="E364" s="68"/>
      <c r="F364" s="68"/>
      <c r="G364" s="32"/>
      <c r="H364" s="68"/>
      <c r="I364" s="69"/>
    </row>
    <row r="365" ht="14.25" customHeight="1">
      <c r="A365" s="27"/>
      <c r="B365" s="27"/>
      <c r="C365" s="30"/>
      <c r="D365" s="30"/>
      <c r="E365" s="27"/>
      <c r="F365" s="27"/>
      <c r="G365" s="32" t="s">
        <v>127</v>
      </c>
      <c r="H365" s="27"/>
      <c r="I365" s="69">
        <f>+SUM(I353:I364)</f>
        <v>248000</v>
      </c>
    </row>
    <row r="366" ht="14.25" customHeight="1">
      <c r="A366" s="27"/>
      <c r="B366" s="27"/>
      <c r="C366" s="30"/>
      <c r="D366" s="30"/>
      <c r="E366" s="27"/>
      <c r="F366" s="27"/>
      <c r="G366" s="32"/>
      <c r="H366" s="27"/>
      <c r="I366" s="69"/>
    </row>
    <row r="367" ht="14.25" customHeight="1">
      <c r="A367" s="27"/>
      <c r="B367" s="27"/>
      <c r="C367" s="30"/>
      <c r="D367" s="30"/>
      <c r="E367" s="27"/>
      <c r="F367" s="27"/>
      <c r="G367" s="32" t="s">
        <v>202</v>
      </c>
      <c r="H367" s="27"/>
      <c r="I367" s="69">
        <v>0.0</v>
      </c>
    </row>
    <row r="368" ht="14.25" customHeight="1">
      <c r="A368" s="27"/>
      <c r="B368" s="27"/>
      <c r="C368" s="30"/>
      <c r="D368" s="30"/>
      <c r="E368" s="27"/>
      <c r="F368" s="27"/>
      <c r="G368" s="32"/>
      <c r="H368" s="27"/>
      <c r="I368" s="69"/>
    </row>
    <row r="369" ht="14.25" customHeight="1">
      <c r="A369" s="27"/>
      <c r="B369" s="27"/>
      <c r="C369" s="30"/>
      <c r="D369" s="30"/>
      <c r="E369" s="27"/>
      <c r="F369" s="27"/>
      <c r="G369" s="32"/>
      <c r="H369" s="27"/>
      <c r="I369" s="69"/>
    </row>
    <row r="370" ht="14.25" customHeight="1">
      <c r="A370" s="27"/>
      <c r="B370" s="27"/>
      <c r="C370" s="30"/>
      <c r="D370" s="30"/>
      <c r="E370" s="27"/>
      <c r="F370" s="85"/>
      <c r="G370" s="88" t="s">
        <v>131</v>
      </c>
      <c r="H370" s="88"/>
      <c r="I370" s="89">
        <f>+I365-I367-I368</f>
        <v>248000</v>
      </c>
    </row>
    <row r="371" ht="14.25" customHeight="1">
      <c r="A371" s="27"/>
      <c r="B371" s="27"/>
      <c r="C371" s="30"/>
      <c r="D371" s="30"/>
      <c r="E371" s="27"/>
      <c r="F371" s="27"/>
      <c r="G371" s="32"/>
      <c r="H371" s="27"/>
      <c r="I371" s="32"/>
    </row>
    <row r="372" ht="14.25" customHeight="1">
      <c r="A372" s="27"/>
      <c r="B372" s="27"/>
      <c r="C372" s="30"/>
      <c r="D372" s="30"/>
      <c r="E372" s="27"/>
      <c r="F372" s="27"/>
      <c r="G372" s="32"/>
      <c r="H372" s="27"/>
      <c r="I372" s="32"/>
    </row>
    <row r="373" ht="14.25" customHeight="1">
      <c r="A373" s="27"/>
      <c r="C373" s="30"/>
      <c r="D373" s="90"/>
      <c r="E373" s="27"/>
    </row>
    <row r="374" ht="14.25" customHeight="1">
      <c r="A374" s="27" t="s">
        <v>133</v>
      </c>
      <c r="C374" s="30"/>
      <c r="D374" s="90">
        <f>+SUM(F353:F364)*0.05</f>
        <v>11500</v>
      </c>
      <c r="E374" s="27" t="s">
        <v>134</v>
      </c>
    </row>
    <row r="375" ht="14.25" customHeight="1">
      <c r="A375" s="27"/>
      <c r="B375" s="27"/>
      <c r="C375" s="30"/>
      <c r="D375" s="30"/>
      <c r="E375" s="27"/>
      <c r="F375" s="27"/>
      <c r="G375" s="32"/>
      <c r="H375" s="27"/>
      <c r="I375" s="32"/>
    </row>
    <row r="376" ht="14.25" customHeight="1">
      <c r="A376" s="91" t="s">
        <v>135</v>
      </c>
      <c r="B376" s="92"/>
      <c r="C376" s="92"/>
      <c r="D376" s="92"/>
      <c r="E376" s="92"/>
      <c r="F376" s="92"/>
      <c r="G376" s="92"/>
      <c r="H376" s="92"/>
      <c r="I376" s="92"/>
    </row>
    <row r="377" ht="14.25" customHeight="1">
      <c r="A377" s="93"/>
      <c r="B377" s="93"/>
      <c r="C377" s="93"/>
      <c r="D377" s="93"/>
      <c r="E377" s="93"/>
      <c r="F377" s="93"/>
      <c r="G377" s="93"/>
      <c r="H377" s="94"/>
      <c r="I377" s="93"/>
    </row>
    <row r="378" ht="14.25" customHeight="1">
      <c r="A378" s="95"/>
      <c r="B378" s="93"/>
      <c r="C378" s="93"/>
      <c r="D378" s="93"/>
      <c r="E378" s="109">
        <f>18000+80000+12000</f>
        <v>110000</v>
      </c>
      <c r="F378" s="110"/>
      <c r="G378" s="110"/>
      <c r="I378" s="93"/>
    </row>
    <row r="379" ht="14.25" customHeight="1">
      <c r="A379" s="93"/>
      <c r="B379" s="93"/>
      <c r="C379" s="93"/>
      <c r="D379" s="93"/>
      <c r="E379" s="111"/>
      <c r="H379" s="94"/>
      <c r="I379" s="93"/>
    </row>
    <row r="380" ht="14.25" customHeight="1">
      <c r="A380" s="91" t="s">
        <v>137</v>
      </c>
      <c r="B380" s="92"/>
      <c r="C380" s="92"/>
      <c r="D380" s="92"/>
      <c r="E380" s="92"/>
      <c r="F380" s="92"/>
      <c r="G380" s="92"/>
      <c r="H380" s="92"/>
      <c r="I380" s="92"/>
    </row>
    <row r="381" ht="14.25" customHeight="1">
      <c r="A381" s="93" t="s">
        <v>138</v>
      </c>
      <c r="B381" s="92"/>
      <c r="C381" s="92"/>
      <c r="D381" s="92"/>
      <c r="E381" s="92"/>
      <c r="F381" s="92"/>
      <c r="G381" s="92"/>
      <c r="H381" s="92"/>
      <c r="I381" s="92"/>
    </row>
    <row r="382" ht="14.25" customHeight="1">
      <c r="A382" s="81" t="s">
        <v>139</v>
      </c>
      <c r="B382" s="27"/>
      <c r="C382" s="30"/>
      <c r="D382" s="30"/>
      <c r="E382" s="27"/>
      <c r="F382" s="27"/>
      <c r="G382" s="32"/>
      <c r="H382" s="27"/>
      <c r="I382" s="32"/>
    </row>
    <row r="383" ht="14.25" customHeight="1">
      <c r="A383" s="60" t="s">
        <v>140</v>
      </c>
      <c r="B383" s="27"/>
      <c r="C383" s="30"/>
      <c r="D383" s="30"/>
      <c r="E383" s="27"/>
      <c r="F383" s="27"/>
      <c r="G383" s="32"/>
      <c r="H383" s="27"/>
      <c r="I383" s="32"/>
    </row>
    <row r="384" ht="14.25" customHeight="1"/>
    <row r="385" ht="14.25" customHeight="1"/>
    <row r="386" ht="14.25" customHeight="1">
      <c r="A386" s="30"/>
      <c r="B386" s="30"/>
      <c r="C386" s="30"/>
      <c r="D386" s="30"/>
      <c r="E386" s="30"/>
      <c r="F386" s="30"/>
      <c r="G386" s="30"/>
      <c r="H386" s="30"/>
      <c r="I386" s="30"/>
    </row>
    <row r="387" ht="14.25" customHeight="1">
      <c r="A387" s="27" t="s">
        <v>72</v>
      </c>
      <c r="B387" s="33" t="s">
        <v>217</v>
      </c>
      <c r="E387" s="27"/>
      <c r="F387" s="27"/>
      <c r="G387" s="32"/>
      <c r="H387" s="27"/>
      <c r="I387" s="32"/>
    </row>
    <row r="388" ht="14.25" customHeight="1">
      <c r="A388" s="27"/>
      <c r="B388" s="27"/>
      <c r="C388" s="30"/>
      <c r="D388" s="30"/>
      <c r="E388" s="27"/>
      <c r="F388" s="27"/>
      <c r="G388" s="32"/>
      <c r="H388" s="27"/>
      <c r="I388" s="32"/>
    </row>
    <row r="389" ht="14.25" customHeight="1">
      <c r="A389" s="27"/>
      <c r="B389" s="27"/>
      <c r="C389" s="30"/>
      <c r="D389" s="30"/>
      <c r="E389" s="27"/>
      <c r="F389" s="27"/>
      <c r="G389" s="32"/>
      <c r="H389" s="27"/>
      <c r="I389" s="32"/>
    </row>
    <row r="390" ht="14.25" customHeight="1">
      <c r="A390" s="27"/>
      <c r="B390" s="27"/>
      <c r="C390" s="30"/>
      <c r="D390" s="30"/>
      <c r="E390" s="27"/>
      <c r="F390" s="27"/>
      <c r="G390" s="32"/>
      <c r="H390" s="27"/>
      <c r="I390" s="32"/>
    </row>
    <row r="391" ht="14.25" customHeight="1">
      <c r="A391" s="27"/>
      <c r="B391" s="27"/>
      <c r="C391" s="30"/>
      <c r="D391" s="30"/>
      <c r="E391" s="27"/>
      <c r="F391" s="37" t="s">
        <v>92</v>
      </c>
      <c r="G391" s="32"/>
      <c r="H391" s="27"/>
      <c r="I391" s="32"/>
    </row>
    <row r="392" ht="14.25" customHeight="1">
      <c r="A392" s="27"/>
      <c r="B392" s="27"/>
      <c r="C392" s="30"/>
      <c r="D392" s="30"/>
      <c r="E392" s="27"/>
      <c r="F392" s="27" t="s">
        <v>95</v>
      </c>
      <c r="G392" s="32"/>
      <c r="H392" s="27"/>
      <c r="I392" s="39" t="s">
        <v>219</v>
      </c>
    </row>
    <row r="393" ht="14.25" customHeight="1">
      <c r="A393" s="27"/>
      <c r="B393" s="27"/>
      <c r="C393" s="30"/>
      <c r="D393" s="30"/>
      <c r="E393" s="27"/>
      <c r="F393" s="27"/>
      <c r="G393" s="32"/>
      <c r="H393" s="27"/>
      <c r="I393" s="32"/>
    </row>
    <row r="394" ht="14.25" customHeight="1">
      <c r="A394" s="27"/>
      <c r="B394" s="27"/>
      <c r="C394" s="30"/>
      <c r="D394" s="30"/>
      <c r="E394" s="27"/>
      <c r="F394" s="27" t="s">
        <v>101</v>
      </c>
      <c r="G394" s="32"/>
      <c r="H394" s="27"/>
      <c r="I394" s="48">
        <f>TODAY()</f>
        <v>46227</v>
      </c>
    </row>
    <row r="395" ht="14.25" customHeight="1">
      <c r="A395" s="27"/>
      <c r="B395" s="27"/>
      <c r="C395" s="30"/>
      <c r="D395" s="30"/>
      <c r="E395" s="27"/>
      <c r="F395" s="27"/>
      <c r="G395" s="32"/>
      <c r="H395" s="27"/>
      <c r="I395" s="32"/>
    </row>
    <row r="396" ht="14.25" customHeight="1">
      <c r="A396" s="27"/>
      <c r="B396" s="27"/>
      <c r="C396" s="30"/>
      <c r="D396" s="30"/>
      <c r="E396" s="27"/>
      <c r="F396" s="27" t="s">
        <v>102</v>
      </c>
      <c r="G396" s="32"/>
      <c r="H396" s="27"/>
      <c r="I396" s="48"/>
    </row>
    <row r="397" ht="14.25" customHeight="1">
      <c r="A397" s="27"/>
      <c r="B397" s="27"/>
      <c r="C397" s="30"/>
      <c r="D397" s="30"/>
      <c r="E397" s="27"/>
      <c r="F397" s="27"/>
      <c r="G397" s="32"/>
      <c r="H397" s="27"/>
      <c r="I397" s="32"/>
    </row>
    <row r="398" ht="14.25" customHeight="1">
      <c r="A398" s="53" t="s">
        <v>107</v>
      </c>
      <c r="B398" s="55"/>
      <c r="C398" s="55"/>
      <c r="D398" s="57" t="s">
        <v>108</v>
      </c>
      <c r="E398" s="57" t="s">
        <v>109</v>
      </c>
      <c r="F398" s="57" t="s">
        <v>110</v>
      </c>
      <c r="G398" s="58" t="s">
        <v>111</v>
      </c>
      <c r="H398" s="55"/>
      <c r="I398" s="59" t="s">
        <v>112</v>
      </c>
    </row>
    <row r="399" ht="14.25" customHeight="1">
      <c r="A399" s="60"/>
      <c r="B399" s="60"/>
      <c r="C399" s="60"/>
      <c r="D399" s="61"/>
      <c r="E399" s="60"/>
      <c r="F399" s="60"/>
      <c r="G399" s="62"/>
      <c r="H399" s="60"/>
      <c r="I399" s="62"/>
      <c r="M399" s="2">
        <f>200000+8000+6000+6000</f>
        <v>220000</v>
      </c>
    </row>
    <row r="400" ht="14.25" customHeight="1">
      <c r="A400" s="63" t="s">
        <v>220</v>
      </c>
      <c r="D400" s="104" t="s">
        <v>35</v>
      </c>
      <c r="E400" s="68">
        <v>18000.0</v>
      </c>
      <c r="F400" s="68">
        <v>230000.0</v>
      </c>
      <c r="G400" s="32"/>
      <c r="H400" s="68"/>
      <c r="I400" s="69">
        <f t="shared" ref="I400:I401" si="7">+SUM(A400:H400)</f>
        <v>248000</v>
      </c>
      <c r="M400" s="2">
        <f>200000+12000+9000+9000</f>
        <v>230000</v>
      </c>
    </row>
    <row r="401" ht="14.25" customHeight="1">
      <c r="A401" s="27" t="s">
        <v>221</v>
      </c>
      <c r="D401" s="104" t="s">
        <v>8</v>
      </c>
      <c r="E401" s="68">
        <v>18000.0</v>
      </c>
      <c r="F401" s="68">
        <v>125000.0</v>
      </c>
      <c r="G401" s="32"/>
      <c r="H401" s="68"/>
      <c r="I401" s="69">
        <f t="shared" si="7"/>
        <v>143000</v>
      </c>
    </row>
    <row r="402" ht="14.25" customHeight="1">
      <c r="A402" s="27"/>
      <c r="D402" s="104"/>
      <c r="E402" s="68"/>
      <c r="F402" s="68"/>
      <c r="G402" s="32"/>
      <c r="H402" s="68"/>
      <c r="I402" s="69"/>
    </row>
    <row r="403" ht="14.25" customHeight="1">
      <c r="A403" s="27"/>
      <c r="D403" s="30"/>
      <c r="E403" s="68"/>
      <c r="F403" s="68"/>
      <c r="G403" s="32"/>
      <c r="H403" s="68"/>
      <c r="I403" s="69"/>
    </row>
    <row r="404" ht="14.25" customHeight="1">
      <c r="A404" s="74"/>
      <c r="D404" s="30"/>
      <c r="E404" s="68"/>
      <c r="F404" s="68"/>
      <c r="G404" s="32"/>
      <c r="H404" s="68"/>
      <c r="I404" s="69"/>
    </row>
    <row r="405" ht="14.25" customHeight="1">
      <c r="A405" s="74"/>
      <c r="D405" s="30"/>
      <c r="E405" s="68"/>
      <c r="F405" s="68"/>
      <c r="G405" s="32"/>
      <c r="H405" s="68"/>
      <c r="I405" s="69"/>
    </row>
    <row r="406" ht="14.25" customHeight="1">
      <c r="A406" s="74"/>
      <c r="D406" s="30"/>
      <c r="E406" s="68"/>
      <c r="F406" s="68"/>
      <c r="G406" s="32"/>
      <c r="H406" s="68"/>
      <c r="I406" s="69"/>
    </row>
    <row r="407" ht="14.25" customHeight="1">
      <c r="A407" s="74"/>
      <c r="D407" s="30"/>
      <c r="E407" s="68"/>
      <c r="F407" s="68"/>
      <c r="G407" s="32"/>
      <c r="H407" s="68"/>
      <c r="I407" s="69"/>
    </row>
    <row r="408" ht="14.25" customHeight="1">
      <c r="A408" s="74"/>
      <c r="D408" s="30"/>
      <c r="E408" s="68"/>
      <c r="F408" s="68"/>
      <c r="G408" s="32"/>
      <c r="H408" s="68"/>
      <c r="I408" s="69"/>
    </row>
    <row r="409" ht="14.25" customHeight="1">
      <c r="A409" s="27"/>
      <c r="B409" s="27"/>
      <c r="C409" s="30"/>
      <c r="D409" s="30"/>
      <c r="E409" s="68"/>
      <c r="F409" s="68"/>
      <c r="G409" s="32"/>
      <c r="H409" s="68"/>
      <c r="I409" s="69"/>
    </row>
    <row r="410" ht="14.25" customHeight="1">
      <c r="A410" s="27"/>
      <c r="B410" s="27"/>
      <c r="C410" s="30"/>
      <c r="D410" s="30"/>
      <c r="E410" s="68"/>
      <c r="F410" s="68"/>
      <c r="G410" s="32"/>
      <c r="H410" s="68"/>
      <c r="I410" s="69"/>
    </row>
    <row r="411" ht="14.25" customHeight="1">
      <c r="A411" s="27"/>
      <c r="B411" s="27"/>
      <c r="C411" s="30"/>
      <c r="D411" s="30"/>
      <c r="E411" s="68"/>
      <c r="F411" s="68"/>
      <c r="G411" s="32"/>
      <c r="H411" s="68"/>
      <c r="I411" s="69"/>
    </row>
    <row r="412" ht="14.25" customHeight="1">
      <c r="A412" s="27"/>
      <c r="B412" s="27"/>
      <c r="C412" s="30"/>
      <c r="D412" s="30"/>
      <c r="E412" s="27"/>
      <c r="F412" s="27"/>
      <c r="G412" s="32" t="s">
        <v>127</v>
      </c>
      <c r="H412" s="27"/>
      <c r="I412" s="69">
        <f>+SUM(I400:I411)</f>
        <v>391000</v>
      </c>
    </row>
    <row r="413" ht="14.25" customHeight="1">
      <c r="A413" s="27"/>
      <c r="B413" s="27"/>
      <c r="C413" s="30"/>
      <c r="D413" s="30"/>
      <c r="E413" s="27"/>
      <c r="F413" s="27"/>
      <c r="G413" s="32"/>
      <c r="H413" s="27"/>
      <c r="I413" s="69"/>
    </row>
    <row r="414" ht="14.25" customHeight="1">
      <c r="A414" s="27"/>
      <c r="B414" s="27"/>
      <c r="C414" s="30"/>
      <c r="D414" s="30"/>
      <c r="E414" s="27"/>
      <c r="F414" s="27"/>
      <c r="G414" s="32"/>
      <c r="H414" s="27"/>
      <c r="I414" s="69">
        <v>5000.0</v>
      </c>
    </row>
    <row r="415" ht="14.25" customHeight="1">
      <c r="A415" s="27"/>
      <c r="B415" s="27"/>
      <c r="C415" s="30"/>
      <c r="D415" s="30"/>
      <c r="E415" s="27"/>
      <c r="F415" s="27"/>
      <c r="G415" s="32"/>
      <c r="H415" s="27"/>
      <c r="I415" s="69"/>
    </row>
    <row r="416" ht="14.25" customHeight="1">
      <c r="A416" s="27"/>
      <c r="B416" s="27"/>
      <c r="C416" s="30"/>
      <c r="D416" s="30"/>
      <c r="E416" s="27"/>
      <c r="F416" s="27"/>
      <c r="G416" s="32"/>
      <c r="H416" s="27"/>
      <c r="I416" s="69"/>
    </row>
    <row r="417" ht="14.25" customHeight="1">
      <c r="A417" s="27"/>
      <c r="B417" s="27"/>
      <c r="C417" s="30"/>
      <c r="D417" s="30"/>
      <c r="E417" s="27"/>
      <c r="F417" s="85"/>
      <c r="G417" s="88" t="s">
        <v>131</v>
      </c>
      <c r="H417" s="88"/>
      <c r="I417" s="89">
        <f>+I412-I414-I415</f>
        <v>386000</v>
      </c>
    </row>
    <row r="418" ht="14.25" customHeight="1">
      <c r="A418" s="27"/>
      <c r="B418" s="27"/>
      <c r="C418" s="30"/>
      <c r="D418" s="30"/>
      <c r="E418" s="27"/>
      <c r="F418" s="27"/>
      <c r="G418" s="32"/>
      <c r="H418" s="27"/>
      <c r="I418" s="32"/>
    </row>
    <row r="419" ht="14.25" customHeight="1">
      <c r="A419" s="27"/>
      <c r="B419" s="27"/>
      <c r="C419" s="30"/>
      <c r="D419" s="30"/>
      <c r="E419" s="27"/>
      <c r="F419" s="27"/>
      <c r="G419" s="32"/>
      <c r="H419" s="27"/>
      <c r="I419" s="32"/>
    </row>
    <row r="420" ht="14.25" customHeight="1">
      <c r="A420" s="27"/>
      <c r="C420" s="30"/>
      <c r="D420" s="90"/>
      <c r="E420" s="27"/>
    </row>
    <row r="421" ht="14.25" customHeight="1">
      <c r="A421" s="27"/>
      <c r="C421" s="30"/>
      <c r="D421" s="90"/>
      <c r="E421" s="27"/>
    </row>
    <row r="422" ht="14.25" customHeight="1">
      <c r="A422" s="27"/>
      <c r="B422" s="27"/>
      <c r="C422" s="30"/>
      <c r="D422" s="30"/>
      <c r="E422" s="27"/>
      <c r="F422" s="27"/>
      <c r="G422" s="32"/>
      <c r="H422" s="27"/>
      <c r="I422" s="32"/>
    </row>
    <row r="423" ht="14.25" customHeight="1">
      <c r="A423" s="91" t="s">
        <v>224</v>
      </c>
      <c r="B423" s="92"/>
      <c r="C423" s="92"/>
      <c r="D423" s="92"/>
      <c r="E423" s="92"/>
      <c r="F423" s="92"/>
      <c r="G423" s="92"/>
      <c r="H423" s="92"/>
      <c r="I423" s="92"/>
    </row>
    <row r="424" ht="14.25" customHeight="1">
      <c r="A424" s="93"/>
      <c r="B424" s="93"/>
      <c r="C424" s="93"/>
      <c r="D424" s="93"/>
      <c r="E424" s="93"/>
      <c r="F424" s="93"/>
      <c r="G424" s="93"/>
      <c r="H424" s="94"/>
      <c r="I424" s="93"/>
    </row>
    <row r="425" ht="14.25" customHeight="1">
      <c r="A425" s="95"/>
      <c r="B425" s="93"/>
      <c r="C425" s="93"/>
      <c r="D425" s="93"/>
      <c r="E425" s="109">
        <f>18000+50000+18000+80000+12000-I414</f>
        <v>173000</v>
      </c>
      <c r="F425" s="110"/>
      <c r="G425" s="110"/>
      <c r="I425" s="93"/>
    </row>
    <row r="426" ht="14.25" customHeight="1">
      <c r="A426" s="93"/>
      <c r="B426" s="93"/>
      <c r="C426" s="93"/>
      <c r="D426" s="93"/>
      <c r="E426" s="111"/>
      <c r="H426" s="94"/>
      <c r="I426" s="93"/>
    </row>
    <row r="427" ht="14.25" customHeight="1">
      <c r="A427" s="91" t="s">
        <v>137</v>
      </c>
      <c r="B427" s="92"/>
      <c r="C427" s="92"/>
      <c r="D427" s="92"/>
      <c r="E427" s="92"/>
      <c r="F427" s="92"/>
      <c r="G427" s="92"/>
      <c r="H427" s="92"/>
      <c r="I427" s="92"/>
    </row>
    <row r="428" ht="14.25" customHeight="1">
      <c r="A428" s="93" t="s">
        <v>138</v>
      </c>
      <c r="B428" s="92"/>
      <c r="C428" s="92"/>
      <c r="D428" s="92"/>
      <c r="E428" s="92"/>
      <c r="F428" s="92"/>
      <c r="G428" s="92"/>
      <c r="H428" s="92"/>
      <c r="I428" s="92"/>
    </row>
    <row r="429" ht="14.25" customHeight="1">
      <c r="A429" s="81" t="s">
        <v>139</v>
      </c>
      <c r="B429" s="27"/>
      <c r="C429" s="30"/>
      <c r="D429" s="30"/>
      <c r="E429" s="27"/>
      <c r="F429" s="27"/>
      <c r="G429" s="32"/>
      <c r="H429" s="27"/>
      <c r="I429" s="32"/>
    </row>
    <row r="430" ht="14.25" customHeight="1">
      <c r="A430" s="60" t="s">
        <v>140</v>
      </c>
      <c r="B430" s="27"/>
      <c r="C430" s="30"/>
      <c r="D430" s="30"/>
      <c r="E430" s="27"/>
      <c r="F430" s="27"/>
      <c r="G430" s="32"/>
      <c r="H430" s="27"/>
      <c r="I430" s="32"/>
    </row>
    <row r="431" ht="14.25" customHeight="1">
      <c r="A431" s="30"/>
      <c r="B431" s="30"/>
      <c r="C431" s="30"/>
      <c r="D431" s="30"/>
      <c r="E431" s="30"/>
      <c r="F431" s="30"/>
      <c r="G431" s="30"/>
      <c r="H431" s="30"/>
      <c r="I431" s="30"/>
    </row>
    <row r="432" ht="14.25" customHeight="1"/>
    <row r="433" ht="14.25" customHeight="1"/>
    <row r="434" ht="14.25" customHeight="1">
      <c r="A434" s="30"/>
      <c r="B434" s="30"/>
      <c r="C434" s="30"/>
      <c r="D434" s="30"/>
      <c r="E434" s="30"/>
      <c r="F434" s="30"/>
      <c r="G434" s="30"/>
      <c r="H434" s="30"/>
      <c r="I434" s="30"/>
    </row>
    <row r="435" ht="14.25" customHeight="1">
      <c r="A435" s="27" t="s">
        <v>72</v>
      </c>
      <c r="B435" s="33" t="s">
        <v>227</v>
      </c>
      <c r="E435" s="27"/>
      <c r="F435" s="27"/>
      <c r="G435" s="32"/>
      <c r="H435" s="27"/>
      <c r="I435" s="32"/>
    </row>
    <row r="436" ht="14.25" customHeight="1">
      <c r="A436" s="27"/>
      <c r="B436" s="27"/>
      <c r="C436" s="30"/>
      <c r="D436" s="30"/>
      <c r="E436" s="27"/>
      <c r="F436" s="27"/>
      <c r="G436" s="32"/>
      <c r="H436" s="27"/>
      <c r="I436" s="32"/>
    </row>
    <row r="437" ht="14.25" customHeight="1">
      <c r="A437" s="27"/>
      <c r="B437" s="27"/>
      <c r="C437" s="30"/>
      <c r="D437" s="30"/>
      <c r="E437" s="27"/>
      <c r="F437" s="27"/>
      <c r="G437" s="32"/>
      <c r="H437" s="27"/>
      <c r="I437" s="32"/>
    </row>
    <row r="438" ht="14.25" customHeight="1">
      <c r="A438" s="27"/>
      <c r="B438" s="27"/>
      <c r="C438" s="30"/>
      <c r="D438" s="30"/>
      <c r="E438" s="27"/>
      <c r="F438" s="27"/>
      <c r="G438" s="32"/>
      <c r="H438" s="27"/>
      <c r="I438" s="32"/>
    </row>
    <row r="439" ht="14.25" customHeight="1">
      <c r="A439" s="27"/>
      <c r="B439" s="27"/>
      <c r="C439" s="30"/>
      <c r="D439" s="30"/>
      <c r="E439" s="27"/>
      <c r="F439" s="37" t="s">
        <v>92</v>
      </c>
      <c r="G439" s="32"/>
      <c r="H439" s="27"/>
      <c r="I439" s="32"/>
    </row>
    <row r="440" ht="14.25" customHeight="1">
      <c r="A440" s="27"/>
      <c r="B440" s="27"/>
      <c r="C440" s="30"/>
      <c r="D440" s="30"/>
      <c r="E440" s="27"/>
      <c r="F440" s="27" t="s">
        <v>95</v>
      </c>
      <c r="G440" s="32"/>
      <c r="H440" s="27"/>
      <c r="I440" s="39" t="s">
        <v>219</v>
      </c>
    </row>
    <row r="441" ht="14.25" customHeight="1">
      <c r="A441" s="27"/>
      <c r="B441" s="27"/>
      <c r="C441" s="30"/>
      <c r="D441" s="30"/>
      <c r="E441" s="27"/>
      <c r="F441" s="27"/>
      <c r="G441" s="32"/>
      <c r="H441" s="27"/>
      <c r="I441" s="32"/>
    </row>
    <row r="442" ht="14.25" customHeight="1">
      <c r="A442" s="27"/>
      <c r="B442" s="27"/>
      <c r="C442" s="30"/>
      <c r="D442" s="30"/>
      <c r="E442" s="27"/>
      <c r="F442" s="27" t="s">
        <v>101</v>
      </c>
      <c r="G442" s="32"/>
      <c r="H442" s="27"/>
      <c r="I442" s="48">
        <f>TODAY()</f>
        <v>46227</v>
      </c>
    </row>
    <row r="443" ht="14.25" customHeight="1">
      <c r="A443" s="27"/>
      <c r="B443" s="27"/>
      <c r="C443" s="30"/>
      <c r="D443" s="30"/>
      <c r="E443" s="27"/>
      <c r="F443" s="27"/>
      <c r="G443" s="32"/>
      <c r="H443" s="27"/>
      <c r="I443" s="32"/>
    </row>
    <row r="444" ht="14.25" customHeight="1">
      <c r="A444" s="27"/>
      <c r="B444" s="27"/>
      <c r="C444" s="30"/>
      <c r="D444" s="30"/>
      <c r="E444" s="27"/>
      <c r="F444" s="27" t="s">
        <v>102</v>
      </c>
      <c r="G444" s="32"/>
      <c r="H444" s="27"/>
      <c r="I444" s="48"/>
    </row>
    <row r="445" ht="14.25" customHeight="1">
      <c r="A445" s="27"/>
      <c r="B445" s="27"/>
      <c r="C445" s="30"/>
      <c r="D445" s="30"/>
      <c r="E445" s="27"/>
      <c r="F445" s="27"/>
      <c r="G445" s="32"/>
      <c r="H445" s="27"/>
      <c r="I445" s="32"/>
    </row>
    <row r="446" ht="14.25" customHeight="1">
      <c r="A446" s="53" t="s">
        <v>107</v>
      </c>
      <c r="B446" s="55"/>
      <c r="C446" s="55"/>
      <c r="D446" s="57" t="s">
        <v>108</v>
      </c>
      <c r="E446" s="57" t="s">
        <v>109</v>
      </c>
      <c r="F446" s="57" t="s">
        <v>110</v>
      </c>
      <c r="G446" s="58" t="s">
        <v>111</v>
      </c>
      <c r="H446" s="55"/>
      <c r="I446" s="59" t="s">
        <v>112</v>
      </c>
    </row>
    <row r="447" ht="14.25" customHeight="1">
      <c r="A447" s="60"/>
      <c r="B447" s="60"/>
      <c r="C447" s="60"/>
      <c r="D447" s="61"/>
      <c r="E447" s="60"/>
      <c r="F447" s="60"/>
      <c r="G447" s="62"/>
      <c r="H447" s="60"/>
      <c r="I447" s="62"/>
    </row>
    <row r="448" ht="14.25" customHeight="1">
      <c r="A448" s="63" t="s">
        <v>229</v>
      </c>
      <c r="D448" s="104" t="s">
        <v>35</v>
      </c>
      <c r="E448" s="68">
        <v>18000.0</v>
      </c>
      <c r="F448" s="68">
        <v>230000.0</v>
      </c>
      <c r="G448" s="32"/>
      <c r="H448" s="68"/>
      <c r="I448" s="69">
        <f t="shared" ref="I448:I450" si="8">+SUM(A448:H448)</f>
        <v>248000</v>
      </c>
    </row>
    <row r="449" ht="14.25" customHeight="1">
      <c r="A449" s="27" t="s">
        <v>230</v>
      </c>
      <c r="D449" s="104" t="s">
        <v>66</v>
      </c>
      <c r="E449" s="68">
        <v>33000.0</v>
      </c>
      <c r="F449" s="68">
        <v>320000.0</v>
      </c>
      <c r="G449" s="32"/>
      <c r="H449" s="68"/>
      <c r="I449" s="69">
        <f t="shared" si="8"/>
        <v>353000</v>
      </c>
    </row>
    <row r="450" ht="14.25" customHeight="1">
      <c r="A450" s="27" t="s">
        <v>179</v>
      </c>
      <c r="D450" s="104" t="s">
        <v>178</v>
      </c>
      <c r="E450" s="68">
        <v>33000.0</v>
      </c>
      <c r="F450" s="68">
        <v>285000.0</v>
      </c>
      <c r="G450" s="32"/>
      <c r="H450" s="68"/>
      <c r="I450" s="69">
        <f t="shared" si="8"/>
        <v>318000</v>
      </c>
    </row>
    <row r="451" ht="14.25" customHeight="1">
      <c r="A451" s="27"/>
      <c r="D451" s="30"/>
      <c r="E451" s="68"/>
      <c r="F451" s="68"/>
      <c r="G451" s="32"/>
      <c r="H451" s="68"/>
      <c r="I451" s="69"/>
    </row>
    <row r="452" ht="14.25" customHeight="1">
      <c r="A452" s="74"/>
      <c r="D452" s="30"/>
      <c r="E452" s="68"/>
      <c r="F452" s="68"/>
      <c r="G452" s="32"/>
      <c r="H452" s="68"/>
      <c r="I452" s="69"/>
    </row>
    <row r="453" ht="14.25" customHeight="1">
      <c r="A453" s="74"/>
      <c r="D453" s="30"/>
      <c r="E453" s="68"/>
      <c r="F453" s="68"/>
      <c r="G453" s="32"/>
      <c r="H453" s="68"/>
      <c r="I453" s="69"/>
    </row>
    <row r="454" ht="14.25" customHeight="1">
      <c r="A454" s="74"/>
      <c r="D454" s="30"/>
      <c r="E454" s="68"/>
      <c r="F454" s="68"/>
      <c r="G454" s="32"/>
      <c r="H454" s="68"/>
      <c r="I454" s="69"/>
    </row>
    <row r="455" ht="14.25" customHeight="1">
      <c r="A455" s="74"/>
      <c r="D455" s="30"/>
      <c r="E455" s="68"/>
      <c r="F455" s="68"/>
      <c r="G455" s="32"/>
      <c r="H455" s="68"/>
      <c r="I455" s="69"/>
    </row>
    <row r="456" ht="14.25" customHeight="1">
      <c r="A456" s="74"/>
      <c r="D456" s="30"/>
      <c r="E456" s="68"/>
      <c r="F456" s="68"/>
      <c r="G456" s="32"/>
      <c r="H456" s="68"/>
      <c r="I456" s="69"/>
    </row>
    <row r="457" ht="14.25" customHeight="1">
      <c r="A457" s="27"/>
      <c r="B457" s="27"/>
      <c r="C457" s="30"/>
      <c r="D457" s="30"/>
      <c r="E457" s="68"/>
      <c r="F457" s="68"/>
      <c r="G457" s="32"/>
      <c r="H457" s="68"/>
      <c r="I457" s="69"/>
    </row>
    <row r="458" ht="14.25" customHeight="1">
      <c r="A458" s="27"/>
      <c r="B458" s="27"/>
      <c r="C458" s="30"/>
      <c r="D458" s="30"/>
      <c r="E458" s="68"/>
      <c r="F458" s="68"/>
      <c r="G458" s="32"/>
      <c r="H458" s="68"/>
      <c r="I458" s="69"/>
    </row>
    <row r="459" ht="14.25" customHeight="1">
      <c r="A459" s="27"/>
      <c r="B459" s="27"/>
      <c r="C459" s="30"/>
      <c r="D459" s="30"/>
      <c r="E459" s="68"/>
      <c r="F459" s="68"/>
      <c r="G459" s="32"/>
      <c r="H459" s="68"/>
      <c r="I459" s="69"/>
    </row>
    <row r="460" ht="14.25" customHeight="1">
      <c r="A460" s="27"/>
      <c r="B460" s="27"/>
      <c r="C460" s="30"/>
      <c r="D460" s="30"/>
      <c r="E460" s="27"/>
      <c r="F460" s="27"/>
      <c r="G460" s="32" t="s">
        <v>127</v>
      </c>
      <c r="H460" s="27"/>
      <c r="I460" s="69">
        <f>+SUM(I448:I459)</f>
        <v>919000</v>
      </c>
    </row>
    <row r="461" ht="14.25" customHeight="1">
      <c r="A461" s="27"/>
      <c r="B461" s="27"/>
      <c r="C461" s="30"/>
      <c r="D461" s="30"/>
      <c r="E461" s="27"/>
      <c r="F461" s="27"/>
      <c r="G461" s="32"/>
      <c r="H461" s="27"/>
      <c r="I461" s="69"/>
    </row>
    <row r="462" ht="14.25" customHeight="1">
      <c r="A462" s="27"/>
      <c r="B462" s="27"/>
      <c r="C462" s="30"/>
      <c r="D462" s="30"/>
      <c r="E462" s="27"/>
      <c r="F462" s="27"/>
      <c r="G462" s="32"/>
      <c r="H462" s="27"/>
      <c r="I462" s="69">
        <v>5000.0</v>
      </c>
    </row>
    <row r="463" ht="14.25" customHeight="1">
      <c r="A463" s="27"/>
      <c r="B463" s="27"/>
      <c r="C463" s="30"/>
      <c r="D463" s="30"/>
      <c r="E463" s="27"/>
      <c r="F463" s="27"/>
      <c r="G463" s="32"/>
      <c r="H463" s="27"/>
      <c r="I463" s="69"/>
    </row>
    <row r="464" ht="14.25" customHeight="1">
      <c r="A464" s="27"/>
      <c r="B464" s="27"/>
      <c r="C464" s="30"/>
      <c r="D464" s="30"/>
      <c r="E464" s="27"/>
      <c r="F464" s="27"/>
      <c r="G464" s="32"/>
      <c r="H464" s="27"/>
      <c r="I464" s="69"/>
    </row>
    <row r="465" ht="14.25" customHeight="1">
      <c r="A465" s="27"/>
      <c r="B465" s="27"/>
      <c r="C465" s="30"/>
      <c r="D465" s="30"/>
      <c r="E465" s="27"/>
      <c r="F465" s="85"/>
      <c r="G465" s="88" t="s">
        <v>131</v>
      </c>
      <c r="H465" s="88"/>
      <c r="I465" s="89">
        <f>+I460-I462-I463</f>
        <v>914000</v>
      </c>
    </row>
    <row r="466" ht="14.25" customHeight="1">
      <c r="A466" s="27"/>
      <c r="B466" s="27"/>
      <c r="C466" s="30"/>
      <c r="D466" s="30"/>
      <c r="E466" s="27"/>
      <c r="F466" s="27"/>
      <c r="G466" s="32"/>
      <c r="H466" s="27"/>
      <c r="I466" s="32"/>
    </row>
    <row r="467" ht="14.25" customHeight="1">
      <c r="A467" s="27"/>
      <c r="B467" s="27"/>
      <c r="C467" s="30"/>
      <c r="D467" s="30"/>
      <c r="E467" s="27"/>
      <c r="F467" s="27"/>
      <c r="G467" s="32"/>
      <c r="H467" s="27"/>
      <c r="I467" s="32"/>
    </row>
    <row r="468" ht="14.25" customHeight="1">
      <c r="A468" s="27"/>
      <c r="C468" s="30"/>
      <c r="D468" s="90"/>
      <c r="E468" s="27"/>
    </row>
    <row r="469" ht="14.25" customHeight="1">
      <c r="A469" s="27"/>
      <c r="C469" s="30"/>
      <c r="D469" s="90"/>
      <c r="E469" s="27"/>
    </row>
    <row r="470" ht="14.25" customHeight="1">
      <c r="A470" s="27"/>
      <c r="B470" s="27"/>
      <c r="C470" s="30"/>
      <c r="D470" s="30"/>
      <c r="E470" s="27"/>
      <c r="F470" s="27"/>
      <c r="G470" s="32"/>
      <c r="H470" s="27"/>
      <c r="I470" s="32"/>
    </row>
    <row r="471" ht="14.25" customHeight="1">
      <c r="A471" s="91" t="s">
        <v>224</v>
      </c>
      <c r="B471" s="92"/>
      <c r="C471" s="92"/>
      <c r="D471" s="92"/>
      <c r="E471" s="92"/>
      <c r="F471" s="92"/>
      <c r="G471" s="92"/>
      <c r="H471" s="92"/>
      <c r="I471" s="92"/>
    </row>
    <row r="472" ht="14.25" customHeight="1">
      <c r="A472" s="93"/>
      <c r="B472" s="93"/>
      <c r="C472" s="93"/>
      <c r="D472" s="93"/>
      <c r="E472" s="93"/>
      <c r="F472" s="93"/>
      <c r="G472" s="93"/>
      <c r="H472" s="94"/>
      <c r="I472" s="93"/>
    </row>
    <row r="473" ht="14.25" customHeight="1">
      <c r="A473" s="95"/>
      <c r="B473" s="93"/>
      <c r="C473" s="93"/>
      <c r="D473" s="93"/>
      <c r="E473" s="109">
        <f>18000+50000+18000+80000+12000-I462</f>
        <v>173000</v>
      </c>
      <c r="F473" s="110"/>
      <c r="G473" s="110"/>
      <c r="I473" s="93"/>
    </row>
    <row r="474" ht="14.25" customHeight="1">
      <c r="A474" s="93"/>
      <c r="B474" s="93"/>
      <c r="C474" s="93"/>
      <c r="D474" s="93"/>
      <c r="E474" s="111"/>
      <c r="H474" s="94"/>
      <c r="I474" s="93"/>
    </row>
    <row r="475" ht="14.25" customHeight="1">
      <c r="A475" s="91" t="s">
        <v>137</v>
      </c>
      <c r="B475" s="92"/>
      <c r="C475" s="92"/>
      <c r="D475" s="92"/>
      <c r="E475" s="92"/>
      <c r="F475" s="92"/>
      <c r="G475" s="92"/>
      <c r="H475" s="92"/>
      <c r="I475" s="92"/>
    </row>
    <row r="476" ht="14.25" customHeight="1">
      <c r="A476" s="93" t="s">
        <v>138</v>
      </c>
      <c r="B476" s="92"/>
      <c r="C476" s="92"/>
      <c r="D476" s="92"/>
      <c r="E476" s="92"/>
      <c r="F476" s="92"/>
      <c r="G476" s="92"/>
      <c r="H476" s="92"/>
      <c r="I476" s="92"/>
    </row>
    <row r="477" ht="14.25" customHeight="1">
      <c r="A477" s="81" t="s">
        <v>139</v>
      </c>
      <c r="B477" s="27"/>
      <c r="C477" s="30"/>
      <c r="D477" s="30"/>
      <c r="E477" s="27"/>
      <c r="F477" s="27"/>
      <c r="G477" s="32"/>
      <c r="H477" s="27"/>
      <c r="I477" s="32"/>
    </row>
    <row r="478" ht="14.25" customHeight="1">
      <c r="A478" s="60" t="s">
        <v>140</v>
      </c>
      <c r="B478" s="27"/>
      <c r="C478" s="30"/>
      <c r="D478" s="30"/>
      <c r="E478" s="27"/>
      <c r="F478" s="27"/>
      <c r="G478" s="32"/>
      <c r="H478" s="27"/>
      <c r="I478" s="32"/>
    </row>
    <row r="479" ht="14.25" customHeight="1">
      <c r="A479" s="30"/>
      <c r="B479" s="30"/>
      <c r="C479" s="30"/>
      <c r="D479" s="30"/>
      <c r="E479" s="30"/>
      <c r="F479" s="30"/>
      <c r="G479" s="30"/>
      <c r="H479" s="30"/>
      <c r="I479" s="30"/>
    </row>
    <row r="480" ht="14.25" customHeight="1">
      <c r="A480" s="30"/>
      <c r="B480" s="30"/>
      <c r="C480" s="30"/>
      <c r="D480" s="30"/>
      <c r="E480" s="30"/>
      <c r="F480" s="30"/>
      <c r="G480" s="30"/>
      <c r="H480" s="30"/>
      <c r="I480" s="30"/>
    </row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0">
    <mergeCell ref="B2:D2"/>
    <mergeCell ref="A13:C13"/>
    <mergeCell ref="G13:H13"/>
    <mergeCell ref="A15:C15"/>
    <mergeCell ref="A16:C16"/>
    <mergeCell ref="A17:C17"/>
    <mergeCell ref="A18:C18"/>
    <mergeCell ref="E34:I34"/>
    <mergeCell ref="E35:I35"/>
    <mergeCell ref="H38:H39"/>
    <mergeCell ref="E39:G40"/>
    <mergeCell ref="A19:C19"/>
    <mergeCell ref="A20:C20"/>
    <mergeCell ref="A21:C21"/>
    <mergeCell ref="A22:C22"/>
    <mergeCell ref="A23:C23"/>
    <mergeCell ref="A34:B34"/>
    <mergeCell ref="A35:B35"/>
    <mergeCell ref="B50:D50"/>
    <mergeCell ref="A61:C61"/>
    <mergeCell ref="G61:H61"/>
    <mergeCell ref="A63:C63"/>
    <mergeCell ref="A64:C64"/>
    <mergeCell ref="A65:C65"/>
    <mergeCell ref="A66:C66"/>
    <mergeCell ref="E82:I82"/>
    <mergeCell ref="E83:I83"/>
    <mergeCell ref="H86:H87"/>
    <mergeCell ref="E87:G88"/>
    <mergeCell ref="A67:C67"/>
    <mergeCell ref="A68:C68"/>
    <mergeCell ref="A69:C69"/>
    <mergeCell ref="A70:C70"/>
    <mergeCell ref="A71:C71"/>
    <mergeCell ref="A82:B82"/>
    <mergeCell ref="A83:B83"/>
    <mergeCell ref="E131:I131"/>
    <mergeCell ref="E132:I132"/>
    <mergeCell ref="B98:D98"/>
    <mergeCell ref="A109:C109"/>
    <mergeCell ref="G109:H109"/>
    <mergeCell ref="A111:C111"/>
    <mergeCell ref="A112:C112"/>
    <mergeCell ref="A113:C113"/>
    <mergeCell ref="A114:C114"/>
    <mergeCell ref="H135:H136"/>
    <mergeCell ref="E136:G137"/>
    <mergeCell ref="A115:C115"/>
    <mergeCell ref="A116:C116"/>
    <mergeCell ref="A117:C117"/>
    <mergeCell ref="A118:C118"/>
    <mergeCell ref="A119:C119"/>
    <mergeCell ref="A131:B131"/>
    <mergeCell ref="A132:B132"/>
    <mergeCell ref="B147:D147"/>
    <mergeCell ref="A158:C158"/>
    <mergeCell ref="G158:H158"/>
    <mergeCell ref="A160:C160"/>
    <mergeCell ref="A161:C161"/>
    <mergeCell ref="A162:C162"/>
    <mergeCell ref="A163:C163"/>
    <mergeCell ref="E180:I180"/>
    <mergeCell ref="E181:I181"/>
    <mergeCell ref="H184:H185"/>
    <mergeCell ref="E185:G186"/>
    <mergeCell ref="A164:C164"/>
    <mergeCell ref="A165:C165"/>
    <mergeCell ref="A166:C166"/>
    <mergeCell ref="A167:C167"/>
    <mergeCell ref="A168:C168"/>
    <mergeCell ref="A180:B180"/>
    <mergeCell ref="A181:B181"/>
    <mergeCell ref="E228:I228"/>
    <mergeCell ref="E229:I229"/>
    <mergeCell ref="A262:C262"/>
    <mergeCell ref="A263:C263"/>
    <mergeCell ref="A264:C264"/>
    <mergeCell ref="A265:C265"/>
    <mergeCell ref="A266:C266"/>
    <mergeCell ref="A278:B278"/>
    <mergeCell ref="A279:B279"/>
    <mergeCell ref="A308:C308"/>
    <mergeCell ref="A309:C309"/>
    <mergeCell ref="A310:C310"/>
    <mergeCell ref="A311:C311"/>
    <mergeCell ref="A312:C312"/>
    <mergeCell ref="A324:B324"/>
    <mergeCell ref="A325:B325"/>
    <mergeCell ref="A351:C351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73:B373"/>
    <mergeCell ref="A374:B374"/>
    <mergeCell ref="A398:C398"/>
    <mergeCell ref="A400:C400"/>
    <mergeCell ref="A401:C401"/>
    <mergeCell ref="A402:C402"/>
    <mergeCell ref="A403:C403"/>
    <mergeCell ref="A404:C404"/>
    <mergeCell ref="A405:C405"/>
    <mergeCell ref="A406:C406"/>
    <mergeCell ref="A407:C407"/>
    <mergeCell ref="A451:C451"/>
    <mergeCell ref="A452:C452"/>
    <mergeCell ref="A453:C453"/>
    <mergeCell ref="A454:C454"/>
    <mergeCell ref="A455:C455"/>
    <mergeCell ref="A456:C456"/>
    <mergeCell ref="A468:B468"/>
    <mergeCell ref="A469:B469"/>
    <mergeCell ref="A408:C408"/>
    <mergeCell ref="A420:B420"/>
    <mergeCell ref="A421:B421"/>
    <mergeCell ref="A446:C446"/>
    <mergeCell ref="A448:C448"/>
    <mergeCell ref="A449:C449"/>
    <mergeCell ref="A450:C450"/>
    <mergeCell ref="E324:I324"/>
    <mergeCell ref="E325:I325"/>
    <mergeCell ref="H328:H329"/>
    <mergeCell ref="E329:G330"/>
    <mergeCell ref="B340:D340"/>
    <mergeCell ref="G351:H351"/>
    <mergeCell ref="E373:I373"/>
    <mergeCell ref="E374:I374"/>
    <mergeCell ref="H377:H378"/>
    <mergeCell ref="E378:G379"/>
    <mergeCell ref="B387:D387"/>
    <mergeCell ref="G398:H398"/>
    <mergeCell ref="E420:I420"/>
    <mergeCell ref="E421:I421"/>
    <mergeCell ref="B195:D195"/>
    <mergeCell ref="A206:C206"/>
    <mergeCell ref="G206:H206"/>
    <mergeCell ref="A208:C208"/>
    <mergeCell ref="A209:C209"/>
    <mergeCell ref="A210:C210"/>
    <mergeCell ref="A211:C211"/>
    <mergeCell ref="H232:H233"/>
    <mergeCell ref="E233:G234"/>
    <mergeCell ref="A212:C212"/>
    <mergeCell ref="A213:C213"/>
    <mergeCell ref="A214:C214"/>
    <mergeCell ref="A215:C215"/>
    <mergeCell ref="A216:C216"/>
    <mergeCell ref="A228:B228"/>
    <mergeCell ref="A229:B229"/>
    <mergeCell ref="B245:D245"/>
    <mergeCell ref="A256:C256"/>
    <mergeCell ref="G256:H256"/>
    <mergeCell ref="A258:C258"/>
    <mergeCell ref="A259:C259"/>
    <mergeCell ref="A260:C260"/>
    <mergeCell ref="A261:C261"/>
    <mergeCell ref="E278:I278"/>
    <mergeCell ref="E279:I279"/>
    <mergeCell ref="H282:H283"/>
    <mergeCell ref="E283:G284"/>
    <mergeCell ref="B291:D291"/>
    <mergeCell ref="A302:C302"/>
    <mergeCell ref="G302:H302"/>
    <mergeCell ref="A304:C304"/>
    <mergeCell ref="A305:C305"/>
    <mergeCell ref="A306:C306"/>
    <mergeCell ref="A307:C307"/>
    <mergeCell ref="H424:H425"/>
    <mergeCell ref="E425:G426"/>
    <mergeCell ref="B435:D435"/>
    <mergeCell ref="G446:H446"/>
    <mergeCell ref="E468:I468"/>
    <mergeCell ref="E469:I469"/>
    <mergeCell ref="H472:H473"/>
    <mergeCell ref="E473:G474"/>
  </mergeCells>
  <dataValidations>
    <dataValidation type="list" allowBlank="1" showErrorMessage="1" sqref="E15:E24 E63:E72 E111:E120 E160:E169 E208:E217 E258:E267 E304:E313 E353:E362 E400:E409 E448:E457">
      <formula1>FI</formula1>
    </dataValidation>
    <dataValidation type="list" allowBlank="1" showErrorMessage="1" sqref="H15:H24 H63:H72 H111:H120 H160:H169 H208:H217 H258:H267 H304:H313 H353:H362 H400:H409 H448:H457">
      <formula1>transport</formula1>
    </dataValidation>
    <dataValidation type="list" allowBlank="1" showErrorMessage="1" sqref="D15:D24 D63:D72 D111:D120 D160:D169 D208:D217 D258:D267 D304:D313 D353:D362 D400:D409 D448:D457">
      <formula1>CLASSE</formula1>
    </dataValidation>
    <dataValidation type="list" allowBlank="1" showErrorMessage="1" sqref="F15:F24 F63:F72 F111:F120 F160:F169 F208:F217 F258:F267 F304:F313 F353:F362 F400:F409 F448:F457">
      <formula1>FRAISSCOLAIRE</formula1>
    </dataValidation>
    <dataValidation type="list" allowBlank="1" showErrorMessage="1" sqref="G15:G23 G63:G71 G111:G119 G160:G168 G208:G216 G258:G266 G304:G312 G353:G361 G400:G408 G448:G456">
      <formula1>SERVICE</formula1>
    </dataValidation>
  </dataValidations>
  <printOptions/>
  <pageMargins bottom="0.75" footer="0.0" header="0.0" left="0.11458333333333333" right="0.010416666666666666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86"/>
    <col customWidth="1" min="2" max="6" width="10.71"/>
  </cols>
  <sheetData>
    <row r="1" ht="14.25" customHeight="1">
      <c r="A1" s="2" t="s">
        <v>0</v>
      </c>
      <c r="B1" s="4" t="s">
        <v>3</v>
      </c>
      <c r="D1" s="2" t="s">
        <v>5</v>
      </c>
    </row>
    <row r="2" ht="14.25" customHeight="1">
      <c r="A2" s="2" t="s">
        <v>7</v>
      </c>
      <c r="B2" s="4" t="s">
        <v>8</v>
      </c>
      <c r="D2" s="2" t="s">
        <v>10</v>
      </c>
    </row>
    <row r="3" ht="14.25" customHeight="1">
      <c r="A3" s="2" t="s">
        <v>12</v>
      </c>
      <c r="B3" s="4" t="s">
        <v>13</v>
      </c>
      <c r="D3" s="2" t="s">
        <v>14</v>
      </c>
    </row>
    <row r="4" ht="14.25" customHeight="1">
      <c r="A4" s="2" t="s">
        <v>16</v>
      </c>
      <c r="B4" s="4" t="s">
        <v>17</v>
      </c>
      <c r="D4" s="2" t="s">
        <v>19</v>
      </c>
    </row>
    <row r="5" ht="14.25" customHeight="1">
      <c r="A5" s="2" t="s">
        <v>20</v>
      </c>
      <c r="B5" s="4" t="s">
        <v>22</v>
      </c>
      <c r="D5" s="2" t="s">
        <v>23</v>
      </c>
    </row>
    <row r="6" ht="14.25" customHeight="1">
      <c r="A6" s="2" t="s">
        <v>26</v>
      </c>
      <c r="B6" s="4" t="s">
        <v>27</v>
      </c>
      <c r="D6" s="2" t="s">
        <v>29</v>
      </c>
    </row>
    <row r="7" ht="14.25" customHeight="1">
      <c r="A7" s="2" t="s">
        <v>30</v>
      </c>
      <c r="B7" s="4" t="s">
        <v>32</v>
      </c>
      <c r="D7" s="2" t="s">
        <v>33</v>
      </c>
    </row>
    <row r="8" ht="14.25" customHeight="1">
      <c r="A8" s="2" t="s">
        <v>34</v>
      </c>
      <c r="B8" s="4" t="s">
        <v>35</v>
      </c>
      <c r="D8" s="2" t="s">
        <v>37</v>
      </c>
    </row>
    <row r="9" ht="14.25" customHeight="1">
      <c r="B9" s="4" t="s">
        <v>39</v>
      </c>
      <c r="D9" s="2" t="s">
        <v>40</v>
      </c>
    </row>
    <row r="10" ht="14.25" customHeight="1">
      <c r="B10" s="4" t="s">
        <v>41</v>
      </c>
      <c r="D10" s="2" t="s">
        <v>42</v>
      </c>
    </row>
    <row r="11" ht="14.25" customHeight="1">
      <c r="B11" s="4" t="s">
        <v>43</v>
      </c>
      <c r="D11" s="2" t="s">
        <v>44</v>
      </c>
    </row>
    <row r="12" ht="14.25" customHeight="1">
      <c r="B12" s="4" t="s">
        <v>46</v>
      </c>
      <c r="D12" s="2" t="s">
        <v>47</v>
      </c>
    </row>
    <row r="13" ht="14.25" customHeight="1">
      <c r="B13" s="4" t="s">
        <v>49</v>
      </c>
      <c r="D13" s="2" t="s">
        <v>51</v>
      </c>
    </row>
    <row r="14" ht="14.25" customHeight="1">
      <c r="B14" s="4" t="s">
        <v>52</v>
      </c>
      <c r="D14" s="2" t="s">
        <v>53</v>
      </c>
    </row>
    <row r="15" ht="14.25" customHeight="1">
      <c r="B15" s="4" t="s">
        <v>56</v>
      </c>
      <c r="D15" s="2" t="s">
        <v>57</v>
      </c>
    </row>
    <row r="16" ht="14.25" customHeight="1">
      <c r="B16" s="4" t="s">
        <v>58</v>
      </c>
      <c r="D16" s="2" t="s">
        <v>59</v>
      </c>
    </row>
    <row r="17" ht="14.25" customHeight="1">
      <c r="B17" s="4" t="s">
        <v>60</v>
      </c>
      <c r="D17" s="2" t="s">
        <v>62</v>
      </c>
    </row>
    <row r="18" ht="14.25" customHeight="1">
      <c r="B18" s="4" t="s">
        <v>63</v>
      </c>
      <c r="D18" s="2" t="s">
        <v>64</v>
      </c>
    </row>
    <row r="19" ht="14.25" customHeight="1">
      <c r="B19" s="4" t="s">
        <v>66</v>
      </c>
      <c r="D19" s="2" t="s">
        <v>67</v>
      </c>
    </row>
    <row r="20" ht="14.25" customHeight="1">
      <c r="B20" s="4" t="s">
        <v>69</v>
      </c>
      <c r="D20" s="2" t="s">
        <v>70</v>
      </c>
    </row>
    <row r="21" ht="14.25" customHeight="1">
      <c r="B21" s="4" t="s">
        <v>73</v>
      </c>
    </row>
    <row r="22" ht="14.25" customHeight="1">
      <c r="B22" s="4" t="s">
        <v>76</v>
      </c>
    </row>
    <row r="23" ht="14.25" customHeight="1">
      <c r="B23" s="4" t="s">
        <v>78</v>
      </c>
    </row>
    <row r="24" ht="14.25" customHeight="1">
      <c r="B24" s="4" t="s">
        <v>80</v>
      </c>
    </row>
    <row r="25" ht="14.25" customHeight="1">
      <c r="B25" s="4" t="s">
        <v>82</v>
      </c>
    </row>
    <row r="26" ht="14.25" customHeight="1">
      <c r="B26" s="4" t="s">
        <v>84</v>
      </c>
    </row>
    <row r="27" ht="14.25" customHeight="1">
      <c r="B27" s="4"/>
    </row>
    <row r="28" ht="14.25" customHeight="1">
      <c r="B28" s="4"/>
    </row>
    <row r="29" ht="14.25" customHeight="1">
      <c r="B29" s="4"/>
    </row>
    <row r="30" ht="14.25" customHeight="1">
      <c r="B30" s="4"/>
    </row>
    <row r="31" ht="14.25" customHeight="1">
      <c r="B31" s="4"/>
    </row>
    <row r="32" ht="14.25" customHeight="1">
      <c r="B32" s="4"/>
    </row>
    <row r="33" ht="14.25" customHeight="1">
      <c r="B33" s="4"/>
    </row>
    <row r="34" ht="14.25" customHeight="1">
      <c r="B34" s="4"/>
    </row>
    <row r="35" ht="14.25" customHeight="1">
      <c r="B35" s="4"/>
    </row>
    <row r="36" ht="14.25" customHeight="1">
      <c r="B36" s="4"/>
    </row>
    <row r="37" ht="14.25" customHeight="1">
      <c r="B37" s="4"/>
    </row>
    <row r="38" ht="14.25" customHeight="1">
      <c r="B38" s="4"/>
    </row>
    <row r="39" ht="14.25" customHeight="1">
      <c r="B39" s="4"/>
    </row>
    <row r="40" ht="14.25" customHeight="1">
      <c r="B40" s="4"/>
    </row>
    <row r="41" ht="14.25" customHeight="1">
      <c r="B41" s="4"/>
    </row>
    <row r="42" ht="14.25" customHeight="1">
      <c r="B42" s="4"/>
    </row>
    <row r="43" ht="14.25" customHeight="1">
      <c r="B43" s="4"/>
    </row>
    <row r="44" ht="14.25" customHeight="1">
      <c r="B44" s="4"/>
    </row>
    <row r="45" ht="14.25" customHeight="1">
      <c r="B45" s="4"/>
    </row>
    <row r="46" ht="14.25" customHeight="1">
      <c r="B46" s="4"/>
    </row>
    <row r="47" ht="14.25" customHeight="1">
      <c r="B47" s="4"/>
    </row>
    <row r="48" ht="14.25" customHeight="1">
      <c r="B48" s="4"/>
    </row>
    <row r="49" ht="14.25" customHeight="1">
      <c r="B49" s="4"/>
    </row>
    <row r="50" ht="14.25" customHeight="1">
      <c r="B50" s="4"/>
    </row>
    <row r="51" ht="14.25" customHeight="1">
      <c r="B51" s="4"/>
    </row>
    <row r="52" ht="14.25" customHeight="1">
      <c r="B52" s="4"/>
    </row>
    <row r="53" ht="14.25" customHeight="1">
      <c r="B53" s="4"/>
    </row>
    <row r="54" ht="14.25" customHeight="1">
      <c r="B54" s="4"/>
    </row>
    <row r="55" ht="14.25" customHeight="1">
      <c r="B55" s="4"/>
    </row>
    <row r="56" ht="14.25" customHeight="1">
      <c r="B56" s="4"/>
    </row>
    <row r="57" ht="14.25" customHeight="1">
      <c r="B57" s="4"/>
    </row>
    <row r="58" ht="14.25" customHeight="1">
      <c r="B58" s="4"/>
    </row>
    <row r="59" ht="14.25" customHeight="1">
      <c r="B59" s="4"/>
    </row>
    <row r="60" ht="14.25" customHeight="1">
      <c r="B60" s="4"/>
    </row>
    <row r="61" ht="14.25" customHeight="1">
      <c r="B61" s="4"/>
    </row>
    <row r="62" ht="14.25" customHeight="1">
      <c r="B62" s="4"/>
    </row>
    <row r="63" ht="14.25" customHeight="1">
      <c r="B63" s="4"/>
    </row>
    <row r="64" ht="14.25" customHeight="1">
      <c r="B64" s="4"/>
    </row>
    <row r="65" ht="14.25" customHeight="1">
      <c r="B65" s="4"/>
    </row>
    <row r="66" ht="14.25" customHeight="1">
      <c r="B66" s="4"/>
    </row>
    <row r="67" ht="14.25" customHeight="1">
      <c r="B67" s="4"/>
    </row>
    <row r="68" ht="14.25" customHeight="1">
      <c r="B68" s="4"/>
    </row>
    <row r="69" ht="14.25" customHeight="1">
      <c r="B69" s="4"/>
    </row>
    <row r="70" ht="14.25" customHeight="1">
      <c r="B70" s="4"/>
    </row>
    <row r="71" ht="14.25" customHeight="1">
      <c r="B71" s="4"/>
    </row>
    <row r="72" ht="14.25" customHeight="1">
      <c r="B72" s="4"/>
    </row>
    <row r="73" ht="14.25" customHeight="1">
      <c r="B73" s="4"/>
    </row>
    <row r="74" ht="14.25" customHeight="1">
      <c r="B74" s="4"/>
    </row>
    <row r="75" ht="14.25" customHeight="1">
      <c r="B75" s="4"/>
    </row>
    <row r="76" ht="14.25" customHeight="1">
      <c r="B76" s="4"/>
    </row>
    <row r="77" ht="14.25" customHeight="1">
      <c r="B77" s="4"/>
    </row>
    <row r="78" ht="14.25" customHeight="1">
      <c r="B78" s="4"/>
    </row>
    <row r="79" ht="14.25" customHeight="1">
      <c r="B79" s="4"/>
    </row>
    <row r="80" ht="14.25" customHeight="1">
      <c r="B80" s="4"/>
    </row>
    <row r="81" ht="14.25" customHeight="1">
      <c r="B81" s="4"/>
    </row>
    <row r="82" ht="14.25" customHeight="1">
      <c r="B82" s="4"/>
    </row>
    <row r="83" ht="14.25" customHeight="1">
      <c r="B83" s="4"/>
    </row>
    <row r="84" ht="14.25" customHeight="1">
      <c r="B84" s="4"/>
    </row>
    <row r="85" ht="14.25" customHeight="1">
      <c r="B85" s="4"/>
    </row>
    <row r="86" ht="14.25" customHeight="1">
      <c r="B86" s="4"/>
    </row>
    <row r="87" ht="14.25" customHeight="1">
      <c r="B87" s="4"/>
    </row>
    <row r="88" ht="14.25" customHeight="1">
      <c r="B88" s="4"/>
    </row>
    <row r="89" ht="14.25" customHeight="1">
      <c r="B89" s="4"/>
    </row>
    <row r="90" ht="14.25" customHeight="1">
      <c r="B90" s="4"/>
    </row>
    <row r="91" ht="14.25" customHeight="1">
      <c r="B91" s="4"/>
    </row>
    <row r="92" ht="14.25" customHeight="1">
      <c r="B92" s="4"/>
    </row>
    <row r="93" ht="14.25" customHeight="1">
      <c r="B93" s="4"/>
    </row>
    <row r="94" ht="14.25" customHeight="1">
      <c r="B94" s="4"/>
    </row>
    <row r="95" ht="14.25" customHeight="1">
      <c r="B95" s="4"/>
    </row>
    <row r="96" ht="14.25" customHeight="1">
      <c r="B96" s="4"/>
    </row>
    <row r="97" ht="14.25" customHeight="1">
      <c r="B97" s="4"/>
    </row>
    <row r="98" ht="14.25" customHeight="1">
      <c r="B98" s="4"/>
    </row>
    <row r="99" ht="14.25" customHeight="1">
      <c r="B99" s="4"/>
    </row>
    <row r="100" ht="14.25" customHeight="1">
      <c r="B100" s="4"/>
    </row>
    <row r="101" ht="14.25" customHeight="1">
      <c r="B101" s="4"/>
    </row>
    <row r="102" ht="14.25" customHeight="1">
      <c r="B102" s="4"/>
    </row>
    <row r="103" ht="14.25" customHeight="1">
      <c r="B103" s="4"/>
    </row>
    <row r="104" ht="14.25" customHeight="1">
      <c r="B104" s="4"/>
    </row>
    <row r="105" ht="14.25" customHeight="1">
      <c r="B105" s="4"/>
    </row>
    <row r="106" ht="14.25" customHeight="1">
      <c r="B106" s="4"/>
    </row>
    <row r="107" ht="14.25" customHeight="1">
      <c r="B107" s="4"/>
    </row>
    <row r="108" ht="14.25" customHeight="1">
      <c r="B108" s="4"/>
    </row>
    <row r="109" ht="14.25" customHeight="1">
      <c r="B109" s="4"/>
    </row>
    <row r="110" ht="14.25" customHeight="1">
      <c r="B110" s="4"/>
    </row>
    <row r="111" ht="14.25" customHeight="1">
      <c r="B111" s="4"/>
    </row>
    <row r="112" ht="14.25" customHeight="1">
      <c r="B112" s="4"/>
    </row>
    <row r="113" ht="14.25" customHeight="1">
      <c r="B113" s="4"/>
    </row>
    <row r="114" ht="14.25" customHeight="1">
      <c r="B114" s="4"/>
    </row>
    <row r="115" ht="14.25" customHeight="1">
      <c r="B115" s="4"/>
    </row>
    <row r="116" ht="14.25" customHeight="1">
      <c r="B116" s="4"/>
    </row>
    <row r="117" ht="14.25" customHeight="1">
      <c r="B117" s="4"/>
    </row>
    <row r="118" ht="14.25" customHeight="1">
      <c r="B118" s="4"/>
    </row>
    <row r="119" ht="14.25" customHeight="1">
      <c r="B119" s="4"/>
    </row>
    <row r="120" ht="14.25" customHeight="1">
      <c r="B120" s="4"/>
    </row>
    <row r="121" ht="14.25" customHeight="1">
      <c r="B121" s="4"/>
    </row>
    <row r="122" ht="14.25" customHeight="1">
      <c r="B122" s="4"/>
    </row>
    <row r="123" ht="14.25" customHeight="1">
      <c r="B123" s="4"/>
    </row>
    <row r="124" ht="14.25" customHeight="1">
      <c r="B124" s="4"/>
    </row>
    <row r="125" ht="14.25" customHeight="1">
      <c r="B125" s="4"/>
    </row>
    <row r="126" ht="14.25" customHeight="1">
      <c r="B126" s="4"/>
    </row>
    <row r="127" ht="14.25" customHeight="1">
      <c r="B127" s="4"/>
    </row>
    <row r="128" ht="14.25" customHeight="1">
      <c r="B128" s="4"/>
    </row>
    <row r="129" ht="14.25" customHeight="1">
      <c r="B129" s="4"/>
    </row>
    <row r="130" ht="14.25" customHeight="1">
      <c r="B130" s="4"/>
    </row>
    <row r="131" ht="14.25" customHeight="1">
      <c r="B131" s="4"/>
    </row>
    <row r="132" ht="14.25" customHeight="1">
      <c r="B132" s="4"/>
    </row>
    <row r="133" ht="14.25" customHeight="1">
      <c r="B133" s="4"/>
    </row>
    <row r="134" ht="14.25" customHeight="1">
      <c r="B134" s="4"/>
    </row>
    <row r="135" ht="14.25" customHeight="1">
      <c r="B135" s="4"/>
    </row>
    <row r="136" ht="14.25" customHeight="1">
      <c r="B136" s="4"/>
    </row>
    <row r="137" ht="14.25" customHeight="1">
      <c r="B137" s="4"/>
    </row>
    <row r="138" ht="14.25" customHeight="1">
      <c r="B138" s="4"/>
    </row>
    <row r="139" ht="14.25" customHeight="1">
      <c r="B139" s="4"/>
    </row>
    <row r="140" ht="14.25" customHeight="1">
      <c r="B140" s="4"/>
    </row>
    <row r="141" ht="14.25" customHeight="1">
      <c r="B141" s="4"/>
    </row>
    <row r="142" ht="14.25" customHeight="1">
      <c r="B142" s="4"/>
    </row>
    <row r="143" ht="14.25" customHeight="1">
      <c r="B143" s="4"/>
    </row>
    <row r="144" ht="14.25" customHeight="1">
      <c r="B144" s="4"/>
    </row>
    <row r="145" ht="14.25" customHeight="1">
      <c r="B145" s="4"/>
    </row>
    <row r="146" ht="14.25" customHeight="1">
      <c r="B146" s="4"/>
    </row>
    <row r="147" ht="14.25" customHeight="1">
      <c r="B147" s="4"/>
    </row>
    <row r="148" ht="14.25" customHeight="1">
      <c r="B148" s="4"/>
    </row>
    <row r="149" ht="14.25" customHeight="1">
      <c r="B149" s="4"/>
    </row>
    <row r="150" ht="14.25" customHeight="1">
      <c r="B150" s="4"/>
    </row>
    <row r="151" ht="14.25" customHeight="1">
      <c r="B151" s="4"/>
    </row>
    <row r="152" ht="14.25" customHeight="1">
      <c r="B152" s="4"/>
    </row>
    <row r="153" ht="14.25" customHeight="1">
      <c r="B153" s="4"/>
    </row>
    <row r="154" ht="14.25" customHeight="1">
      <c r="B154" s="4"/>
    </row>
    <row r="155" ht="14.25" customHeight="1">
      <c r="B155" s="4"/>
    </row>
    <row r="156" ht="14.25" customHeight="1">
      <c r="B156" s="4"/>
    </row>
    <row r="157" ht="14.25" customHeight="1">
      <c r="B157" s="4"/>
    </row>
    <row r="158" ht="14.25" customHeight="1">
      <c r="B158" s="4"/>
    </row>
    <row r="159" ht="14.25" customHeight="1">
      <c r="B159" s="4"/>
    </row>
    <row r="160" ht="14.25" customHeight="1">
      <c r="B160" s="4"/>
    </row>
    <row r="161" ht="14.25" customHeight="1">
      <c r="B161" s="4"/>
    </row>
    <row r="162" ht="14.25" customHeight="1">
      <c r="B162" s="4"/>
    </row>
    <row r="163" ht="14.25" customHeight="1">
      <c r="B163" s="4"/>
    </row>
    <row r="164" ht="14.25" customHeight="1">
      <c r="B164" s="4"/>
    </row>
    <row r="165" ht="14.25" customHeight="1">
      <c r="B165" s="4"/>
    </row>
    <row r="166" ht="14.25" customHeight="1">
      <c r="B166" s="4"/>
    </row>
    <row r="167" ht="14.25" customHeight="1">
      <c r="B167" s="4"/>
    </row>
    <row r="168" ht="14.25" customHeight="1">
      <c r="B168" s="4"/>
    </row>
    <row r="169" ht="14.25" customHeight="1">
      <c r="B169" s="4"/>
    </row>
    <row r="170" ht="14.25" customHeight="1">
      <c r="B170" s="4"/>
    </row>
    <row r="171" ht="14.25" customHeight="1">
      <c r="B171" s="4"/>
    </row>
    <row r="172" ht="14.25" customHeight="1">
      <c r="B172" s="4"/>
    </row>
    <row r="173" ht="14.25" customHeight="1">
      <c r="B173" s="4"/>
    </row>
    <row r="174" ht="14.25" customHeight="1">
      <c r="B174" s="4"/>
    </row>
    <row r="175" ht="14.25" customHeight="1">
      <c r="B175" s="4"/>
    </row>
    <row r="176" ht="14.25" customHeight="1">
      <c r="B176" s="4"/>
    </row>
    <row r="177" ht="14.25" customHeight="1">
      <c r="B177" s="4"/>
    </row>
    <row r="178" ht="14.25" customHeight="1">
      <c r="B178" s="4"/>
    </row>
    <row r="179" ht="14.25" customHeight="1">
      <c r="B179" s="4"/>
    </row>
    <row r="180" ht="14.25" customHeight="1">
      <c r="B180" s="4"/>
    </row>
    <row r="181" ht="14.25" customHeight="1">
      <c r="B181" s="4"/>
    </row>
    <row r="182" ht="14.25" customHeight="1">
      <c r="B182" s="4"/>
    </row>
    <row r="183" ht="14.25" customHeight="1">
      <c r="B183" s="4"/>
    </row>
    <row r="184" ht="14.25" customHeight="1">
      <c r="B184" s="4"/>
    </row>
    <row r="185" ht="14.25" customHeight="1">
      <c r="B185" s="4"/>
    </row>
    <row r="186" ht="14.25" customHeight="1">
      <c r="B186" s="4"/>
    </row>
    <row r="187" ht="14.25" customHeight="1">
      <c r="B187" s="4"/>
    </row>
    <row r="188" ht="14.25" customHeight="1">
      <c r="B188" s="4"/>
    </row>
    <row r="189" ht="14.25" customHeight="1">
      <c r="B189" s="4"/>
    </row>
    <row r="190" ht="14.25" customHeight="1">
      <c r="B190" s="4"/>
    </row>
    <row r="191" ht="14.25" customHeight="1">
      <c r="B191" s="4"/>
    </row>
    <row r="192" ht="14.25" customHeight="1">
      <c r="B192" s="4"/>
    </row>
    <row r="193" ht="14.25" customHeight="1">
      <c r="B193" s="4"/>
    </row>
    <row r="194" ht="14.25" customHeight="1">
      <c r="B194" s="4"/>
    </row>
    <row r="195" ht="14.25" customHeight="1">
      <c r="B195" s="4"/>
    </row>
    <row r="196" ht="14.25" customHeight="1">
      <c r="B196" s="4"/>
    </row>
    <row r="197" ht="14.25" customHeight="1">
      <c r="B197" s="4"/>
    </row>
    <row r="198" ht="14.25" customHeight="1">
      <c r="B198" s="4"/>
    </row>
    <row r="199" ht="14.25" customHeight="1">
      <c r="B199" s="4"/>
    </row>
    <row r="200" ht="14.25" customHeight="1">
      <c r="B200" s="4"/>
    </row>
    <row r="201" ht="14.25" customHeight="1">
      <c r="B201" s="4"/>
    </row>
    <row r="202" ht="14.25" customHeight="1">
      <c r="B202" s="4"/>
    </row>
    <row r="203" ht="14.25" customHeight="1">
      <c r="B203" s="4"/>
    </row>
    <row r="204" ht="14.25" customHeight="1">
      <c r="B204" s="4"/>
    </row>
    <row r="205" ht="14.25" customHeight="1">
      <c r="B205" s="4"/>
    </row>
    <row r="206" ht="14.25" customHeight="1">
      <c r="B206" s="4"/>
    </row>
    <row r="207" ht="14.25" customHeight="1">
      <c r="B207" s="4"/>
    </row>
    <row r="208" ht="14.25" customHeight="1">
      <c r="B208" s="4"/>
    </row>
    <row r="209" ht="14.25" customHeight="1">
      <c r="B209" s="4"/>
    </row>
    <row r="210" ht="14.25" customHeight="1">
      <c r="B210" s="4"/>
    </row>
    <row r="211" ht="14.25" customHeight="1">
      <c r="B211" s="4"/>
    </row>
    <row r="212" ht="14.25" customHeight="1">
      <c r="B212" s="4"/>
    </row>
    <row r="213" ht="14.25" customHeight="1">
      <c r="B213" s="4"/>
    </row>
    <row r="214" ht="14.25" customHeight="1">
      <c r="B214" s="4"/>
    </row>
    <row r="215" ht="14.25" customHeight="1">
      <c r="B215" s="4"/>
    </row>
    <row r="216" ht="14.25" customHeight="1">
      <c r="B216" s="4"/>
    </row>
    <row r="217" ht="14.25" customHeight="1">
      <c r="B217" s="4"/>
    </row>
    <row r="218" ht="14.25" customHeight="1">
      <c r="B218" s="4"/>
    </row>
    <row r="219" ht="14.25" customHeight="1">
      <c r="B219" s="4"/>
    </row>
    <row r="220" ht="14.25" customHeight="1">
      <c r="B220" s="4"/>
    </row>
    <row r="221" ht="14.25" customHeight="1">
      <c r="B221" s="4"/>
    </row>
    <row r="222" ht="14.25" customHeight="1">
      <c r="B222" s="4"/>
    </row>
    <row r="223" ht="14.25" customHeight="1">
      <c r="B223" s="4"/>
    </row>
    <row r="224" ht="14.25" customHeight="1">
      <c r="B224" s="4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